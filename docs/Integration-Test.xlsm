
<file path=[Content_Types].xml><?xml version="1.0" encoding="utf-8"?>
<Types xmlns="http://schemas.openxmlformats.org/package/2006/content-types">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sheetId="1" r:id="rId4"/>
    <sheet state="visible" name="Test Cases" sheetId="2" r:id="rId5"/>
    <sheet state="visible" name="Test Statistics" sheetId="3" r:id="rId6"/>
    <sheet state="visible" name="System Administration" sheetId="4" r:id="rId7"/>
    <sheet state="visible" name="User Authentication" sheetId="5" r:id="rId8"/>
    <sheet state="visible" name="Quiz Administration" sheetId="6" r:id="rId9"/>
    <sheet state="visible" name="Lesson Management" sheetId="7" r:id="rId10"/>
  </sheets>
  <definedNames>
    <definedName name="ACTION">#REF!</definedName>
    <definedName localSheetId="0" name="ACTION">#REF!</definedName>
  </definedNames>
  <calcPr/>
  <extLst>
    <ext uri="GoogleSheetsCustomDataVersion2">
      <go:sheetsCustomData xmlns:go="http://customooxmlschemas.google.com/" r:id="rId11" roundtripDataChecksum="gSvCwu3U4iGL35URDffsbfD2AA+yJ12bO8lSYeKzIpo="/>
    </ext>
  </extLst>
</workbook>
</file>

<file path=xl/sharedStrings.xml><?xml version="1.0" encoding="utf-8"?>
<sst xmlns="http://schemas.openxmlformats.org/spreadsheetml/2006/main" count="943" uniqueCount="943">
  <si>
    <t>INTEGRATION TEST STATISTICS</t>
  </si>
  <si>
    <t>TEST CASE LIST</t>
  </si>
  <si>
    <t>Feature</t>
  </si>
  <si>
    <t>INTEGRATION TEST REPORT DOCUMENT</t>
  </si>
  <si>
    <t>System Administration</t>
  </si>
  <si>
    <t>Project Name</t>
  </si>
  <si>
    <t>Passed</t>
  </si>
  <si>
    <t>Courson - LMS</t>
  </si>
  <si>
    <t>Creator</t>
  </si>
  <si>
    <t>Test requirement</t>
  </si>
  <si>
    <t>End-to-end integration test of System Administration across Admin Course Management screens (Course List, Course Details, and Role Assignment): keyword search (exact match, case-insensitive, Course ID lookup, empty/special characters), multi-criteria filtering (category, manager, lifecycle status, reset filters), course data modification &amp; validation (title, price &gt;= 0, description), role assignment (Manager/Expert binding, re-assignment, unselected validation), and course lifecycle status transitions (DRAFT -&gt; PENDING_REVIEW -&gt; PUBLISHED -&gt; ARCHIVED) with moderation notes.</t>
  </si>
  <si>
    <t>Project Code</t>
  </si>
  <si>
    <t>SE2051-NET_SWP391_G5</t>
  </si>
  <si>
    <t>Issue Date</t>
  </si>
  <si>
    <t>Failed</t>
  </si>
  <si>
    <t>Number of TCs</t>
  </si>
  <si>
    <t>Test Environment Setup Description</t>
  </si>
  <si>
    <t>Document Code</t>
  </si>
  <si>
    <t>1. Server: Apache Tomcat 10.1+ (Jakarta Servlet 6.0, JDK 17), URL: http://localhost:8080/Courson/
2. Database: PostgreSQL 14+ (Port 5432, Database: courson_db, default schema &amp; seed data)
3. Web Browser: Google Chrome (Latest), Mozilla Firefox / Microsoft Edge
4. Email Testing: SMTP Server (MailHog / Mailtrap / Gmail test with TLS/SSL)
5. Test Accounts:
   - Admin: admin / admin@courson.edu.vn (admin123)
   - Manager: manager1 / manager@courson.edu.vn (admin123)
   - Expert: expert1 / expert@courson.edu.vn (admin123)
   - Student: student1 / student@courson.edu.vn (admin123)
   - Seeded unverified/inactive accounts for token and state transition tests</t>
  </si>
  <si>
    <t>Pending</t>
  </si>
  <si>
    <t>Testing Round</t>
  </si>
  <si>
    <t>Reviewer/Approver</t>
  </si>
  <si>
    <t>N/A</t>
  </si>
  <si>
    <t>Version</t>
  </si>
  <si>
    <t>1.0</t>
  </si>
  <si>
    <t>Round 1</t>
  </si>
  <si>
    <t>No</t>
  </si>
  <si>
    <t>Record of change</t>
  </si>
  <si>
    <t>Function Name</t>
  </si>
  <si>
    <t>Sheet Name</t>
  </si>
  <si>
    <t>Description</t>
  </si>
  <si>
    <t>Pre-Condition</t>
  </si>
  <si>
    <t>Effective Date</t>
  </si>
  <si>
    <t>Change Item</t>
  </si>
  <si>
    <t>*A,D,M</t>
  </si>
  <si>
    <t>Change description</t>
  </si>
  <si>
    <t>Reference</t>
  </si>
  <si>
    <t>Search Course</t>
  </si>
  <si>
    <t>Notes</t>
  </si>
  <si>
    <t>v1.0</t>
  </si>
  <si>
    <t>Round 2</t>
  </si>
  <si>
    <t>Quiz Administration</t>
  </si>
  <si>
    <t>A</t>
  </si>
  <si>
    <t>Created 25 black-box test cases for Quiz Administration Expert screens. Completed Round 1 execution (22 Passed, 3 Failed).
Logged defects (BUG_QUIZ_01, BUG_QUIZ_02, BUG_QUIZ_03). Retested and verified fixes in Round 2 (100% Passed).</t>
  </si>
  <si>
    <t>Software Requirement Specification (SRS), Software Design Specification (SDS)</t>
  </si>
  <si>
    <t>04/10/2026
18/10/2026</t>
  </si>
  <si>
    <t>v1.0
v2.0</t>
  </si>
  <si>
    <t>Round 3</t>
  </si>
  <si>
    <t>User Authentication</t>
  </si>
  <si>
    <t>A
A</t>
  </si>
  <si>
    <t>Filter Course</t>
  </si>
  <si>
    <t>-Consolidated version – 45 integration test cases for User Authentication (Register, Email Verification, Sign In, Home Page). Executed Round 1 &amp; Round 2.
-Add 7 new itergration test cases for User Authentication (Login by Googel Auth). Executed Round 1 &amp; Round 2.</t>
  </si>
  <si>
    <t>Add integration test suite (21 TCs) for System Administration: Course search &amp; multi-criteria filter, course details editing, Manager/Expert role assignments, and course lifecycle status transitions (Draft to Published/Archived). Executed Round 1 &amp; Round 2.</t>
  </si>
  <si>
    <t>Edit Course Info</t>
  </si>
  <si>
    <t>Module code</t>
  </si>
  <si>
    <t>Lesson Management</t>
  </si>
  <si>
    <t>Added 40 integration test cases for Expert Dashboard, Lesson List and Lesson Detail. Executed Round 1: 39 Passed / 1 Failed (DEF_LM_001). Rounds 2 and 3 remain Pending.</t>
  </si>
  <si>
    <t>Number of  test cases</t>
  </si>
  <si>
    <t>Assign Course Roles</t>
  </si>
  <si>
    <t>Update Course Status</t>
  </si>
  <si>
    <t>Test Case ID</t>
  </si>
  <si>
    <t>Test Case Description</t>
  </si>
  <si>
    <t>Test Case Procedure</t>
  </si>
  <si>
    <t>Expected Results</t>
  </si>
  <si>
    <t>Pre-conditions</t>
  </si>
  <si>
    <t>User Registration Account</t>
  </si>
  <si>
    <t>Test date</t>
  </si>
  <si>
    <t>Tester</t>
  </si>
  <si>
    <t>Defect IDs</t>
  </si>
  <si>
    <t>Note</t>
  </si>
  <si>
    <t>User Verification Email</t>
  </si>
  <si>
    <t>User Sign In Authentication</t>
  </si>
  <si>
    <t>TC_SEARCH_01</t>
  </si>
  <si>
    <t>Test search with an exact matching Course Title.</t>
  </si>
  <si>
    <t>1. Login with Admin role.
2. Navigate to "Course List".
3. Enter an exact existing course title (e.g. "Lập trình hướng đối tượng") into the Search Box.
4. Click "Lọc &amp; Tìm" button.</t>
  </si>
  <si>
    <t>The system displays only the course that exactly matches the entered title.</t>
  </si>
  <si>
    <t>Admin is logged in. At least 1 course with this title exists.</t>
  </si>
  <si>
    <t>Role-Based Redirection Post-Login</t>
  </si>
  <si>
    <t>Works as expected.</t>
  </si>
  <si>
    <t>Public Home Page &amp; Session Lifecycle</t>
  </si>
  <si>
    <t>TC_SEARCH_02</t>
  </si>
  <si>
    <t>Test search with a partial &amp; case-insensitive Title.</t>
  </si>
  <si>
    <t>1. Login with Admin role.
2. Navigate to "Course List".
3. Enter a partial keyword in lowercase/uppercase (e.g. "java" or "JAVA").
4. Click "Lọc &amp; Tìm".</t>
  </si>
  <si>
    <t>The system displays all courses containing the word "java" in their title, regardless of uppercase or lowercase.</t>
  </si>
  <si>
    <t>Admin is logged in. At least 1 course containing "java" in title exists.</t>
  </si>
  <si>
    <t>BUG_SEARCH_01</t>
  </si>
  <si>
    <t>Round 1: Bị lỗi phân biệt hoa thường (Case-sensitive).
Round 2: Dev đã fix hàm LOWER() trong SQL. Đã test lại OK.</t>
  </si>
  <si>
    <t>Quiz List &amp; Management</t>
  </si>
  <si>
    <t>TC_SEARCH_03</t>
  </si>
  <si>
    <t>Test search with a valid Course ID.</t>
  </si>
  <si>
    <t>1. Login with Admin role.
2. Navigate to "Course List".
3. Enter a valid Course ID (e.g. "6").
4. Click "Lọc &amp; Tìm".</t>
  </si>
  <si>
    <t>The system displays exactly one course having ID = 6.</t>
  </si>
  <si>
    <t>Admin is logged in. Course with ID 6 exists in database.</t>
  </si>
  <si>
    <t>TC_SEARCH_04</t>
  </si>
  <si>
    <t>Test search with a non-existent keyword.</t>
  </si>
  <si>
    <t>1. Login with Admin role.
2. Navigate to "Course List".
3. Enter a random string (e.g. "xyz123999").
4. Click "Lọc &amp; Tìm".</t>
  </si>
  <si>
    <t>The system displays an empty table with the message "Chưa có khóa học nào được tạo." (No records found).</t>
  </si>
  <si>
    <t>Quiz Configuration &amp; Details</t>
  </si>
  <si>
    <t>Admin is logged in.</t>
  </si>
  <si>
    <t>Checked with various special characters.</t>
  </si>
  <si>
    <t>TC_SEARCH_05</t>
  </si>
  <si>
    <t>Test search with an empty keyword.</t>
  </si>
  <si>
    <t>1. Login with Admin role.
2. Navigate to "Course List".
3. Leave the Search Box empty.
4. Click "Lọc &amp; Tìm".</t>
  </si>
  <si>
    <t>The system displays all available courses in the database without any keyword filtering.</t>
  </si>
  <si>
    <t>Question Bank Management</t>
  </si>
  <si>
    <t>Question Authoring &amp; Options</t>
  </si>
  <si>
    <t>TC_FILTER_01</t>
  </si>
  <si>
    <t>Test filtering by a single criterion</t>
  </si>
  <si>
    <t>1. Navigate to Course List.
2. Select "Lập trình Web" in Category dropdown.
3. Click "Lọc &amp; Tìm".1. Navigate to Course List.
2. Select "Lập trình Web" in Category dropdown.
3. Click "Lọc &amp; Tìm".</t>
  </si>
  <si>
    <t>System displays only courses belonging to the "Lập trình Web" category.</t>
  </si>
  <si>
    <t>At least 1 course with this category exists.</t>
  </si>
  <si>
    <t>TC_FILTER_02</t>
  </si>
  <si>
    <t>Test filtering by multiple combined criteria.</t>
  </si>
  <si>
    <t>1. Navigate to Course List.
2. Select a Category.
3. Select a Manager.
4. Select a Status.
5. Click "Lọc &amp; Tìm".</t>
  </si>
  <si>
    <t>System displays only courses that match ALL 3 selected criteria perfectly.</t>
  </si>
  <si>
    <t>Courses matching the criteria exist.</t>
  </si>
  <si>
    <t>Quiz Question Composition</t>
  </si>
  <si>
    <t>TC_FILTER_03</t>
  </si>
  <si>
    <t>Test filter combining Search Keyword and Dropdowns.</t>
  </si>
  <si>
    <t>1. Enter keyword "java".
2. Select Status "PUBLISHED".
3. Click "Lọc &amp; Tìm".</t>
  </si>
  <si>
    <t>System displays published courses that contain "java" in the title.</t>
  </si>
  <si>
    <t>Expert Dashboard</t>
  </si>
  <si>
    <t>TC_FILTER_04</t>
  </si>
  <si>
    <t>Test selecting "Tất cả" (All) options.</t>
  </si>
  <si>
    <t>1. Set all dropdowns to "Tất cả...".
2. Click "Lọc &amp; Tìm".</t>
  </si>
  <si>
    <t>System ignores filters and displays all courses.</t>
  </si>
  <si>
    <t>Sub total</t>
  </si>
  <si>
    <t>Lesson List</t>
  </si>
  <si>
    <t>TC_EDIT_01</t>
  </si>
  <si>
    <t>Test updating text fields (Title, Price, Description).</t>
  </si>
  <si>
    <t>1. Click "View Details" of a course.
2. Modify Title, Price, Description.
3. Click "Save All Changes".</t>
  </si>
  <si>
    <t>System updates the data in the database and shows a success message.</t>
  </si>
  <si>
    <t>Admin is in Course Detail page.</t>
  </si>
  <si>
    <t>Lesson Detail</t>
  </si>
  <si>
    <t>TC_EDIT_02</t>
  </si>
  <si>
    <t>Test updating course assignments (Category, Manager, Expert).</t>
  </si>
  <si>
    <t>1. Go to Course Detail.
2. Change Category, Manager, and Expert via dropdowns.
3. Click "Save All Changes".</t>
  </si>
  <si>
    <t>System saves the new assignments. The updated Manager/Expert can now manage this course.</t>
  </si>
  <si>
    <t>BUG_EDIT_01</t>
  </si>
  <si>
    <t>Round 1: Dropdown Manager bị thiếu role Admin.
Round 2: Đã sửa code lấy đủ role. Test OK.</t>
  </si>
  <si>
    <t>TC_EDIT_03</t>
  </si>
  <si>
    <t xml:space="preserve">Test overriding Course Status.
</t>
  </si>
  <si>
    <t>1. Go to Course Detail.
2. Change Status from DRAFT to PUBLISHED.
3. Add Moderation Note.
4. Click "Save All Changes".</t>
  </si>
  <si>
    <t>Course status is updated successfully and reflects immediately on the Course List page.</t>
  </si>
  <si>
    <t>Test coverage</t>
  </si>
  <si>
    <t>TC_EDIT_04</t>
  </si>
  <si>
    <t>Test form validation with empty required fields.</t>
  </si>
  <si>
    <t>1. Go to Course Detail.
2. Clear the Course Title field (make it empty).
3. Click "Save All Changes".</t>
  </si>
  <si>
    <t>HTML5 validation prevents submission. A warning "Please fill out this field" appears.</t>
  </si>
  <si>
    <t>Browser validation works.</t>
  </si>
  <si>
    <t>%</t>
  </si>
  <si>
    <t>TC_ASSIGN_01</t>
  </si>
  <si>
    <t>Test assigning a new Manager to a course.</t>
  </si>
  <si>
    <t>1. Go to Course Detail.
2. In the "Người quản lý" dropdown, select a Manager (e.g. manager1).
3. Click "Save All Changes".</t>
  </si>
  <si>
    <t>Test successful coverage</t>
  </si>
  <si>
    <t>System saves successfully. The course is now managed by "manager1".</t>
  </si>
  <si>
    <t>System has at least 1 user with Manager/Admin role.</t>
  </si>
  <si>
    <t>TC_ASSIGN_02</t>
  </si>
  <si>
    <t>Test assigning a new Expert to a course.</t>
  </si>
  <si>
    <t>1. Go to Course Detail.
2. In the "Chuyên gia" dropdown, select an Expert.
3. Click "Save All Changes".</t>
  </si>
  <si>
    <t>System saves successfully. The Expert is granted permissions to add lessons to this course.</t>
  </si>
  <si>
    <t>System has at least 1 user with Expert role.</t>
  </si>
  <si>
    <t>TC_ASSIGN_03</t>
  </si>
  <si>
    <t>Test changing (re-assigning) an existing Expert.</t>
  </si>
  <si>
    <t>1. Go to Course Detail of a course that already has an Expert.
2. Select a DIFFERENT Expert from the dropdown.
3. Click "Save".</t>
  </si>
  <si>
    <t>System saves successfully. The new Expert replaces the old one for this course.</t>
  </si>
  <si>
    <t>Course already has an assigned Expert.</t>
  </si>
  <si>
    <t>TC_ASSIGN_04</t>
  </si>
  <si>
    <t>Test form validation when Expert is unselected (Empty).</t>
  </si>
  <si>
    <t>1. Go to Course Detail.
2. Select "-- Chọn Chuyên gia --" (Empty value).
3. Click "Save All Changes".</t>
  </si>
  <si>
    <t>HTML5 validation prevents submission because the Expert field is required.</t>
  </si>
  <si>
    <t>BUG_ASSIGN_01</t>
  </si>
  <si>
    <t>Round 1: Bị lỗi 500 do DB không cho null.
Round 2: Đã thêm thuộc tính required vào thẻ select. Test OK.</t>
  </si>
  <si>
    <t>TC_STATUS_01</t>
  </si>
  <si>
    <t>Test changing status to PENDING_REVIEW.</t>
  </si>
  <si>
    <t>1. Go to Course Detail.
2. Change Status to "Pending Review".
3. Add Moderation Note.
4. Click "Save".</t>
  </si>
  <si>
    <t>Status is updated to PENDING_REVIEW. Badge color changes to blue on the Course List.</t>
  </si>
  <si>
    <t>Course is currently in DRAFT status.</t>
  </si>
  <si>
    <t>TC_STATUS_02</t>
  </si>
  <si>
    <t>1. Go to Course Detail.
2. Change Status to "Published".
3. Click "Save".</t>
  </si>
  <si>
    <t>Status is updated to PUBLISHED. Course becomes visible to students on the home page.</t>
  </si>
  <si>
    <t>Course is currently in PENDING_REVIEW.</t>
  </si>
  <si>
    <t>TC_STATUS_03</t>
  </si>
  <si>
    <t>Test changing status to ARCHIVED.</t>
  </si>
  <si>
    <t>1. Go to Course Detail.
2. Change Status to "Archived".
3. Enter note "Khóa học đã cũ".
4. Click "Save".</t>
  </si>
  <si>
    <t>Status is updated to ARCHIVED. Course is hidden from public view.</t>
  </si>
  <si>
    <t>Course is currently PUBLISHED.</t>
  </si>
  <si>
    <t>TC_STATUS_04</t>
  </si>
  <si>
    <t>Test saving Moderation Note with special characters.</t>
  </si>
  <si>
    <t>1. Go to Course Detail.
2. In Moderation Note, enter text with special chars (e.g. @#$%).
3. Click "Save".</t>
  </si>
  <si>
    <t>System saves the note correctly into the database without SQL Injection errors.</t>
  </si>
  <si>
    <t>Test end-to-end User Authentication feature across 4 screens: User Register, Email Verification Notice &amp; email token flow, Sign In, and Home Page. Covers form validation, unique constraints, role assignment (STUDENT), initial INACTIVE status, 24h token expiry, 60s resend cooldown, credential validation (MSG09), unverified/banned handling, role redirection (Admin/Manager/Expert/Student), and session lifecycle.</t>
  </si>
  <si>
    <t>Function 1: User Registration Validation &amp; Account Creation</t>
  </si>
  <si>
    <t>TC_AUTH_001</t>
  </si>
  <si>
    <t>Test registering new account with valid information.</t>
  </si>
  <si>
    <t>1. Go to Register page.
 2. Enter Full Name: "Nguyen Van An".
 3. Enter Username: "user_test01".
 4. Enter Email: "user_test01@courson.edu.vn".
 5. Enter Password: "Password@123".
 6. Enter Confirm Password: "Password@123".
 7. Check Terms and Conditions checkbox.
 8. Click "Đăng ký tài khoản" button.</t>
  </si>
  <si>
    <t>The "Email Verification Notice" page is displayed with:
 - Notice title: "Xác thực tài khoản của bạn"
 - Registered email: "user_test01@courson.edu.vn"
 - User account created with Student role and Inactive status
 - Verification email sent to user inbox</t>
  </si>
  <si>
    <t>- User is on Register page.</t>
  </si>
  <si>
    <t>TC_AUTH_002</t>
  </si>
  <si>
    <t>Test registering account with empty Full Name.</t>
  </si>
  <si>
    <t>1. Go to Register page.
 2. Leave Full Name blank.
 3. Enter valid Username, Email, Password, Confirm Password.
 4. Check Terms checkbox and click "Đăng ký tài khoản" button.</t>
  </si>
  <si>
    <t>Error message is displayed:
 - "Họ và tên không được để trống."
 - Full Name field is highlighted
 - Registration is rejected</t>
  </si>
  <si>
    <t>TC_AUTH_003</t>
  </si>
  <si>
    <t>Test registering account with Full Name under 3 characters (BVA min-1).</t>
  </si>
  <si>
    <t>1. Go to Register page.
 2. Enter Full Name: "An" (2 characters).
 3. Enter valid values for remaining fields and check Terms.
 4. Click "Đăng ký tài khoản" button.</t>
  </si>
  <si>
    <t>Error message is displayed:
 - "Họ và tên phải từ 3 đến 50 ký tự."
 - Registration is rejected</t>
  </si>
  <si>
    <t>TC_AUTH_004</t>
  </si>
  <si>
    <t>Test registering account with Full Name of 50 characters (BVA max).</t>
  </si>
  <si>
    <t>1. Go to Register page.
 2. Enter Full Name with exactly 50 characters.
 3. Enter valid values for remaining fields and check Terms.
 4. Click "Đăng ký tài khoản" button.</t>
  </si>
  <si>
    <t>The "Email Verification Notice" page is displayed with:
 - Registration succeeds
 - Full Name is saved with 50 characters</t>
  </si>
  <si>
    <t>TC_AUTH_005</t>
  </si>
  <si>
    <t>Test registering account with Full Name exceeding 50 characters (BVA max+1).</t>
  </si>
  <si>
    <t>1. Go to Register page.
 2. Enter Full Name with 51 characters.
 3. Enter valid values for remaining fields and check Terms.
 4. Click "Đăng ký tài khoản" button.</t>
  </si>
  <si>
    <t>TC_AUTH_006</t>
  </si>
  <si>
    <t>Test registering account with empty Username.</t>
  </si>
  <si>
    <t>1. Go to Register page.
 2. Leave Username blank.
 3. Enter valid Full Name, Email, Password, Confirm Password.
 4. Check Terms checkbox and click "Đăng ký tài khoản" button.</t>
  </si>
  <si>
    <t>Error message is displayed:
 - "Tên người dùng không được để trống."
 - Registration is rejected</t>
  </si>
  <si>
    <t>TC_AUTH_007</t>
  </si>
  <si>
    <t>Test registering account with Username under 4 characters (BVA min-1).</t>
  </si>
  <si>
    <t>1. Go to Register page.
 2. Enter Username: "abc" (3 characters).
 3. Enter valid values for remaining fields and check Terms.
 4. Click "Đăng ký tài khoản" button.</t>
  </si>
  <si>
    <t>Error message is displayed:
 - "Tên đăng nhập phải từ 4–30 ký tự, chỉ gồm chữ cái, số hoặc dấu gạch dưới (_)."
 - Registration is rejected</t>
  </si>
  <si>
    <t>TC_AUTH_008</t>
  </si>
  <si>
    <t>Test registering account with Username of 30 characters (BVA max).</t>
  </si>
  <si>
    <t>1. Go to Register page.
 2. Enter Username with exactly 30 valid characters.
 3. Enter valid values for remaining fields and check Terms.
 4. Click "Đăng ký tài khoản" button.</t>
  </si>
  <si>
    <t>The "Email Verification Notice" page is displayed with:
 - Registration succeeds
 - Username is saved with 30 characters</t>
  </si>
  <si>
    <t>TC_AUTH_009</t>
  </si>
  <si>
    <t>Test registering account with Username exceeding 30 characters (BVA max+1).</t>
  </si>
  <si>
    <t>1. Go to Register page.
 2. Enter Username with 31 characters.
 3. Enter valid values for remaining fields and check Terms.
 4. Click "Đăng ký tài khoản" button.</t>
  </si>
  <si>
    <t>TC_AUTH_010</t>
  </si>
  <si>
    <t>Test registering account with invalid characters in Username.</t>
  </si>
  <si>
    <t>1. Go to Register page.
 2. Enter Username containing special characters: "user@name#123".
 3. Enter valid values for remaining fields and check Terms.
 4. Click "Đăng ký tài khoản" button.</t>
  </si>
  <si>
    <t>TC_AUTH_011</t>
  </si>
  <si>
    <t>Test registering account with empty Email.</t>
  </si>
  <si>
    <t>1. Go to Register page.
 2. Leave Email blank.
 3. Enter valid Full Name, Username, Password, Confirm Password.
 4. Check Terms checkbox and click "Đăng ký tài khoản" button.</t>
  </si>
  <si>
    <t>Error message is displayed:
 - "Email không được để trống."
 - Registration is rejected</t>
  </si>
  <si>
    <t>TC_AUTH_012</t>
  </si>
  <si>
    <t>Test registering account with invalid Email format missing "@".</t>
  </si>
  <si>
    <t>1. Go to Register page.
 2. Enter Email without "@": "invalid_email_format.com".
 3. Enter valid values for remaining fields and check Terms.
 4. Click "Đăng ký tài khoản" button.</t>
  </si>
  <si>
    <t>Error message is displayed:
 - "Email không đúng định dạng."
 - Registration is rejected</t>
  </si>
  <si>
    <t>TC_AUTH_013</t>
  </si>
  <si>
    <t>Test registering account with empty Password.</t>
  </si>
  <si>
    <t>1. Go to Register page.
 2. Leave Password blank.
 3. Enter valid Full Name, Username, Email, Confirm Password.
 4. Check Terms checkbox and click "Đăng ký tài khoản" button.</t>
  </si>
  <si>
    <t>Error message is displayed:
 - "Mật khẩu không được để trống."
 - Registration is rejected</t>
  </si>
  <si>
    <t>TC_AUTH_014</t>
  </si>
  <si>
    <t>Test registering account with Password under 8 characters (BVA min-1).</t>
  </si>
  <si>
    <t>1. Go to Register page.
 2. Enter Password: "Pass@12" (7 characters).
 3. Enter Confirm Password: "Pass@12".
 4. Enter valid values for remaining fields, check Terms and click "Đăng ký tài khoản".</t>
  </si>
  <si>
    <t>Error message is displayed:
 - "Mật khẩu phải từ 8–32 ký tự, chứa ít nhất 1 chữ hoa, 1 chữ số và 1 ký tự đặc biệt."
 - Registration is rejected</t>
  </si>
  <si>
    <t>TC_AUTH_015</t>
  </si>
  <si>
    <t>Test registering account with Password lacking required characters.</t>
  </si>
  <si>
    <t>1. Go to Register page.
 2. Enter Password without uppercase or special character: "password123".
 3. Enter Confirm Password: "password123".
 4. Enter valid values for remaining fields, check Terms and click "Đăng ký tài khoản".</t>
  </si>
  <si>
    <t>TC_AUTH_016</t>
  </si>
  <si>
    <t>Test registering account with mismatched Confirm Password.</t>
  </si>
  <si>
    <t>1. Go to Register page.
 2. Enter Password: "Password@123".
 3. Enter Confirm Password: "Password@999".
 4. Enter valid values for remaining fields, check Terms and click "Đăng ký tài khoản".</t>
  </si>
  <si>
    <t>Error message is displayed:
 - "Xác nhận mật khẩu không khớp."
 - Registration is rejected</t>
  </si>
  <si>
    <t>TC_AUTH_017</t>
  </si>
  <si>
    <t>Test registering account without accepting Terms &amp; Conditions.</t>
  </si>
  <si>
    <t>1. Go to Register page.
 2. Enter valid information for all fields.
 3. Leave Terms &amp; Conditions checkbox unchecked.
 4. Click "Đăng ký tài khoản" button.</t>
  </si>
  <si>
    <t>Error message is displayed:
 - "Bạn phải đồng ý với điều khoản dịch vụ để tiếp tục."
 - Registration is rejected</t>
  </si>
  <si>
    <t>TC_AUTH_018</t>
  </si>
  <si>
    <t>Test registering account with existing Username.</t>
  </si>
  <si>
    <t>1. Go to Register page.
 2. Enter already registered Username: "student1".
 3. Enter unique email and valid values for remaining fields.
 4. Check Terms checkbox and click "Đăng ký tài khoản" button.</t>
  </si>
  <si>
    <t>Error message is displayed:
 - "Tên đăng nhập đã được sử dụng."
 - Registration is rejected</t>
  </si>
  <si>
    <t>- User is on Register page.
 - Account "student1" exists in database.</t>
  </si>
  <si>
    <t>TC_AUTH_019</t>
  </si>
  <si>
    <t>Test registering account with existing Email.</t>
  </si>
  <si>
    <t>1. Go to Register page.
 2. Enter already registered Email: "student@courson.edu.vn".
 3. Enter unique username and valid values for remaining fields.
 4. Check Terms checkbox and click "Đăng ký tài khoản" button.</t>
  </si>
  <si>
    <t>Error message is displayed:
 - "Email đã được sử dụng."
 - Registration is rejected</t>
  </si>
  <si>
    <t>- User is on Register page.
 - Account with email "student@courson.edu.vn" exists in database.</t>
  </si>
  <si>
    <t>Function 2: Email Verification Notice &amp; Token Activation Flow</t>
  </si>
  <si>
    <t>TC_AUTH_020</t>
  </si>
  <si>
    <t>Test default role and status assigned to new account.</t>
  </si>
  <si>
    <t>1. Register new account with username "reg_student_spec".
 2. Check user details in database.</t>
  </si>
  <si>
    <t>The user account is created with:
 - Role: Student (setting_type=USER_ROLE)
 - Status: Inactive
 - Auth provider: LOCAL</t>
  </si>
  <si>
    <t>- Test case COURSON_AUTH_001 is performed.</t>
  </si>
  <si>
    <t>TC_AUTH_021</t>
  </si>
  <si>
    <t>Test page reload after successful registration.</t>
  </si>
  <si>
    <t>1. Submit valid registration form.
 2. On Email Verification Notice page, press F5 to reload.</t>
  </si>
  <si>
    <t>The reload executes successfully with:
 - Notice page reloads normally
 - No duplicate form resubmission warning
 - No duplicate user created in database</t>
  </si>
  <si>
    <t>TC_AUTH_022</t>
  </si>
  <si>
    <t>Test viewing Email Verification Notice screen after registration.</t>
  </si>
  <si>
    <t>1. Complete registration with email "verify_user01@courson.edu.vn".
 2. View Email Verification Notice page.</t>
  </si>
  <si>
    <t>The "Email Verification Notice" page is displayed with:
 - Title: "Kiểm tra email của bạn"
 - Masked target email (e.g. "ve***1@courson.edu.vn")
 - Instruction to check inbox
 - Button: "Gửi lại sau (60s)" (disabled during countdown)
 - Link to Home page and Login page</t>
  </si>
  <si>
    <t>TC_AUTH_023</t>
  </si>
  <si>
    <t>Test receiving verification email in inbox.</t>
  </si>
  <si>
    <t>1. Complete registration for new account.
 2. Check email inbox.</t>
  </si>
  <si>
    <t>The verification email is received with:
 - Subject: "Xác thực tài khoản Courson LMS"
 - Greeting with user's full name
 - Activation link button containing rawToken (43 base64url characters)
 - Token expiration note: 24 hours</t>
  </si>
  <si>
    <t>- Test case COURSON_AUTH_001 is performed.
 - Mail server is running.</t>
  </si>
  <si>
    <t>TC_AUTH_024</t>
  </si>
  <si>
    <t>Test resending verification email within 60-second cooldown (BVA 59s).</t>
  </si>
  <si>
    <t>1. On Email Verification Notice page, attempt to trigger resend within 59 seconds after last send (e.g. via direct AJAX or API).</t>
  </si>
  <si>
    <t>Resend is rejected with:
 - HTTP 429 Too Many Requests returned by server
 - Toast warning message: "Vui lòng đợi 60 giây trước khi yêu cầu gửi lại email xác nhận."
 - Countdown timer is maintained
 - No new email is sent</t>
  </si>
  <si>
    <t>- Test case COURSON_AUTH_022 is performed.
 - Less than 60 seconds elapsed since last token generation.</t>
  </si>
  <si>
    <t>TC_AUTH_025</t>
  </si>
  <si>
    <t>Test resending verification email after 60-second cooldown (BVA 60s).</t>
  </si>
  <si>
    <t>1. Wait 60 seconds after last send until countdown reaches 0.
 2. Click "Gửi lại email xác nhận" button.</t>
  </si>
  <si>
    <t>Resend succeeds with:
 - HTTP 200 response with success JSON
 - Toast message: "Đã gửi lại link xác thực! Vui lòng kiểm tra hộp thư."
 - Old token is invalidated (used = TRUE)
 - New token is generated and sent to user email
 - 60s countdown restarts</t>
  </si>
  <si>
    <t>- Test case COURSON_AUTH_022 is performed.
 - At least 60 seconds elapsed since last send.</t>
  </si>
  <si>
    <t>TC_AUTH_026</t>
  </si>
  <si>
    <t>Test activating account with valid verification link within 24 hours.</t>
  </si>
  <si>
    <t>1. Open verification email in inbox.
 2. Click activation link (GET /verify?token={rawToken}).</t>
  </si>
  <si>
    <t>Activation succeeds with:
 - User is redirected to Sign In page (/auth/login?status=verified)
 - Success toast message: "Xác thực tài khoản thành công! Hãy đăng nhập để bắt đầu học tập."
 - Account status changes from INACTIVE to ACTIVE in database
 - Token is consumed (used = TRUE)</t>
  </si>
  <si>
    <t>- Test cases COURSON_AUTH_001 and COURSON_AUTH_023 are performed.
 - Link is clicked within 24 hours.</t>
  </si>
  <si>
    <t>End-to-end black-box test of Quiz Administration across Expert screens (Quiz List, Quiz Detail, Question Bank, and Question Authoring modal): navigation, form validation, boundary rules (0–100% pass score, points &gt; 0), option controls, question assignment, and deletion confirmations.</t>
  </si>
  <si>
    <t>TC_AUTH_027</t>
  </si>
  <si>
    <t>Test activating account with expired verification link (BVA 24 hours).</t>
  </si>
  <si>
    <t>1. Click verification link after 24 hours from creation.</t>
  </si>
  <si>
    <t>Activation fails with:
 - User is redirected to Sign In page (/auth/login?status=invalid)
 - Error toast message: "Liên kết xác thực không hợp lệ hoặc đã hết hạn. Bạn có thể yêu cầu gửi lại email xác nhận."
 - Account status remains INACTIVE in database</t>
  </si>
  <si>
    <t>- Test case COURSON_AUTH_001 is performed.
 - More than 24 hours elapsed since token creation.</t>
  </si>
  <si>
    <t>TC_AUTH_028</t>
  </si>
  <si>
    <t>Test clicking already used verification link.</t>
  </si>
  <si>
    <t>1. Click the verification link that was already consumed in test case COURSON_AUTH_026.</t>
  </si>
  <si>
    <t>System handles reuse safely with:
 - User is redirected to Sign In page (/auth/login?status=already)
 - Info toast message: "Tài khoản đã được xác thực trước đó, hãy đăng nhập."
 - Account remains ACTIVE</t>
  </si>
  <si>
    <t>- Test case COURSON_AUTH_026 is performed (token already consumed, user active).</t>
  </si>
  <si>
    <t>TC_AUTH_029</t>
  </si>
  <si>
    <t>Test clicking old verification link after new link was resent.</t>
  </si>
  <si>
    <t>Verify Expert Dashboard, Lesson List and Lesson Detail: course loading/navigation, course/section/lesson creation, form binding and persistence, AI apply and review submission.
Sandbox: unmodified static build; API 404 uses DataStore fallback. Execution logs and screenshots: Expert_Integration_Test_Evidence.zip.</t>
  </si>
  <si>
    <t>1. Request a new verification link in test case COURSON_AUTH_025.
 2. Click the old verification link from previous email.</t>
  </si>
  <si>
    <t>Activation fails with:
 - User is redirected to Sign In page (/auth/login?status=invalid)
 - Error toast message: "Liên kết xác thực không hợp lệ hoặc đã hết hạn. Bạn có thể yêu cầu gửi lại email xác nhận."
 - Account remains INACTIVE</t>
  </si>
  <si>
    <t>- Test case COURSON_AUTH_025 is performed (new token generated, old token invalidated).</t>
  </si>
  <si>
    <t>TC_AUTH_030</t>
  </si>
  <si>
    <t>Test activating account with invalid verification link.</t>
  </si>
  <si>
    <t>1. Open a fake or malformed verification link in browser (e.g. /verify?token=fake_or_tampered_token).</t>
  </si>
  <si>
    <t>Activation fails with:
 - User is redirected to Sign In page (/auth/login?status=invalid)
 - Error toast message: "Liên kết xác thực không hợp lệ hoặc đã hết hạn. Bạn có thể yêu cầu gửi lại email xác nhận."
 - No unhandled server exception or 500 error occurs</t>
  </si>
  <si>
    <t>- Web application is running.</t>
  </si>
  <si>
    <t>Function 3: User Sign In Authentication &amp; Credential Verification</t>
  </si>
  <si>
    <t>TC_AUTH_031</t>
  </si>
  <si>
    <t>Test signing in with empty Username and Password.</t>
  </si>
  <si>
    <t>1. Go to Sign In page.
 2. Leave both "Tên đăng nhập hoặc Email" and "Mật khẩu" fields blank.
 3. Click "Đăng nhập" button.</t>
  </si>
  <si>
    <t>Validation errors are displayed:
 - Error message under Login ID: "Vui lòng nhập tên đăng nhập hoặc email."
 - Error message under Password: "Vui lòng nhập mật khẩu."
 - Sign In request is rejected</t>
  </si>
  <si>
    <t>- User is on Sign In page.</t>
  </si>
  <si>
    <t>TC_AUTH_032</t>
  </si>
  <si>
    <t>Test signing in with non-existent Username (MSG09).</t>
  </si>
  <si>
    <t>1. Go to Sign In page.
 2. Enter non-existent Username: "nonexistent_account_999".
 3. Enter any Password: "AnyPassword@123".
 4. Click "Đăng nhập" button.</t>
  </si>
  <si>
    <t>Generic error message (MSG09) is displayed:
 - Server alert: "Tài khoản hoặc mật khẩu không chính xác."
 - Does not reveal whether username exists
 - User remains on Sign In page</t>
  </si>
  <si>
    <t>- User is on Sign In page.
 - Account "nonexistent_account_999" does not exist in database.</t>
  </si>
  <si>
    <t>TC_AUTH_033</t>
  </si>
  <si>
    <t>Test signing in with wrong Password (MSG09).</t>
  </si>
  <si>
    <t>1. Go to Sign In page.
 2. Enter valid Username: "student1".
 3. Enter wrong Password: "WrongPassword@123".
 4. Click "Đăng nhập" button.</t>
  </si>
  <si>
    <t>Generic error message (MSG09) is displayed:
 - Server alert: "Tài khoản hoặc mật khẩu không chính xác."
 - Message is identical to non-existent username case
 - User remains on Sign In page</t>
  </si>
  <si>
    <t>- User is on Sign In page.
 - Account "student1" exists in database.</t>
  </si>
  <si>
    <t>TC_AUTH_034</t>
  </si>
  <si>
    <t>Test signing in with Email using different letter casing.</t>
  </si>
  <si>
    <t>1. Go to Sign In page.
 2. Enter Email with uppercase letter: "Student1@courson.edu.vn".
 3. Enter correct Password: "admin123".
 4. Click "Đăng nhập" button.</t>
  </si>
  <si>
    <t>Sign In succeeds with:
 - System recognizes email case-insensitively
 - User is logged in and redirected to Home page
 - Student navbar is displayed</t>
  </si>
  <si>
    <t>- Account "student1" is Active with email "student1@courson.edu.vn".</t>
  </si>
  <si>
    <t>BUG_GMAIL_01</t>
  </si>
  <si>
    <t>Round 1: Failed - Lỗi phân biệt chữ hoa/thường
Round 2: Đã fix trong SQL dùng LOWER(email) = LOWER(?) tại commit c068be0; re-test đăng nhập thành công với email hoa/thường (Passed).</t>
  </si>
  <si>
    <t>TC_AUTH_035</t>
  </si>
  <si>
    <t>Test signing in with unverified account (Inactive status).</t>
  </si>
  <si>
    <t>1. Go to Sign In page.
 2. Enter credentials of an unverified account.
 3. Click "Đăng nhập" button.</t>
  </si>
  <si>
    <t>Sign In is blocked with:
 - Alert message: "Tài khoản chưa được kích hoạt email."
 - Prompt box with button: "Gửi lại email xác nhận"
 - Clicking prompt navigates to /auth/check-email?email=...
 - No login session is created</t>
  </si>
  <si>
    <t>- Account exists with Inactive status.</t>
  </si>
  <si>
    <t>TC_AUTH_036</t>
  </si>
  <si>
    <t>Test signing in with locked or disabled account (Banned status).</t>
  </si>
  <si>
    <t>1. Go to Sign In page.
 2. Enter credentials of a disabled account.
 3. Click "Đăng nhập" button.</t>
  </si>
  <si>
    <t>Sign In is blocked with:
 - Alert message: "Tài khoản của bạn đã bị khóa."
 - Login rejected despite correct password
 - No session created</t>
  </si>
  <si>
    <t>- Account exists with Banned status in database.</t>
  </si>
  <si>
    <t>TC_AUTH_037</t>
  </si>
  <si>
    <t>Test signing in with registered Email and valid Password.</t>
  </si>
  <si>
    <t>1. Go to Sign In page (/auth/login).
 2. Enter Email into "Tên đăng nhập hoặc Email" field: "student1@courson.edu.vn".
 3. Enter valid Password: "admin123".
 4. Click "Đăng nhập" button.</t>
  </si>
  <si>
    <t>Sign In succeeds with:
 - System authenticates user via exact email match
 - User is logged in and redirected to Home page (/home)
 - Student navbar with user avatar is displayed</t>
  </si>
  <si>
    <t>- Account "student1" exists with Active status and email "student1@courson.edu.vn".
 - User is on Sign In page.</t>
  </si>
  <si>
    <t>TC_AUTH_038</t>
  </si>
  <si>
    <t>Test signing in with Google OAuth 2.0 for new user (automatic account provisioning).</t>
  </si>
  <si>
    <t>1. On Sign In page, click "Đăng nhập bằng Google" button.
 2. Authenticate on Google consent screen with new Google email: "new_student@gmail.com".
 3. Google redirects back to callback endpoint (/auth/google-callback) with authorization code.</t>
  </si>
  <si>
    <t>Google Sign-In succeeds with:
 - System automatically creates new user account with Student role, auth_provider=GOOGLE, status=ACTIVE
 - Clean username is generated from email prefix
 - User is logged in without password and redirected to Home page</t>
  </si>
  <si>
    <t>- Google OAuth credentials configured in application.
 - Email "new_student@gmail.com" does not exist in database.</t>
  </si>
  <si>
    <t>TC_AUTH_039</t>
  </si>
  <si>
    <t>Test signing in with Google OAuth 2.0 for existing local inactive account (account linking &amp; auto-activation).</t>
  </si>
  <si>
    <t>1. Register local account with email "unverified_user@gmail.com" (account is Inactive).
 2. Go to Sign In page and click "Đăng nhập bằng Google" button.
 3. Authenticate with Google account using matching email "unverified_user@gmail.com".
 4. Complete authorization callback.</t>
  </si>
  <si>
    <t>Authentication and linking succeed with:
 - System links existing account: updates auth_provider to GOOGLE
 - Account status is automatically updated to ACTIVE (email verified via Google)
 - User is logged in and redirected to Home page</t>
  </si>
  <si>
    <t>- Local account exists with Inactive status and email "unverified_user@gmail.com".
 - Google OAuth credentials configured.</t>
  </si>
  <si>
    <t>TC_AUTH_040</t>
  </si>
  <si>
    <t>Test cancelling Google OAuth 2.0 sign-in on Google consent screen.</t>
  </si>
  <si>
    <t>1. On Sign In page, click "Đăng nhập bằng Google" button.
 2. On Google consent screen, click "Cancel" (returning to callback with error parameter).</t>
  </si>
  <si>
    <t>Cancellation is handled gracefully with:
 - User is redirected back to Sign In page (/auth/login)
 - Informational toast message is displayed: "Bạn đã huỷ đăng nhập bằng Google."
 - No unhandled server exception or HTTP 500 error</t>
  </si>
  <si>
    <t>TC_LM_DB_01</t>
  </si>
  <si>
    <t>- User is on Sign In page.
 - Google OAuth service is reachable.</t>
  </si>
  <si>
    <t>Verify course loading through the local API fallback.</t>
  </si>
  <si>
    <t>TC_EXP_QLIST_01</t>
  </si>
  <si>
    <t>Verify Quiz List displays breadcrumb, quiz attributes, and action buttons.</t>
  </si>
  <si>
    <t>Function 4: Role-Based Redirection Post-Login</t>
  </si>
  <si>
    <t>1. Open /expert/studio on a clean test profile.
2. Inspect the failed /api/courses request and rendered course cards.
3. Compare with INITIAL_COURSES in DataStore.</t>
  </si>
  <si>
    <t>Three cards load: course-nextjs, course-cloud and course-design. Total is 3; courses authored by Sarah remain visible when John is selected. Skeletons disappear.</t>
  </si>
  <si>
    <t>1. Login with Expert role (expert1).
 2. Navigate to assigned course.
 3. Click 'Quizzes &amp; Question Bank' tab.
 4. Inspect breadcrumbs, table columns, and action icons.</t>
  </si>
  <si>
    <t>- Fresh browser profile and sample courses.
- Expert John selected in the demo switch.
- Static build; API 404 uses local fallback.</t>
  </si>
  <si>
    <t>Breadcrumb displays correct hierarchy. Quiz table displays Title, Pass score %, Time limit, Question count badge, Order, and Edit/Delete icons.</t>
  </si>
  <si>
    <t>Expert is assigned to the course. Course has at least 1 quiz.</t>
  </si>
  <si>
    <t>TC_AUTH_041</t>
  </si>
  <si>
    <t>Test signing in with Student role and redirecting to Home page.</t>
  </si>
  <si>
    <t>1. Go to Sign In page.
 2. Enter Login ID: "student1", Password: "admin123".
 3. Click "Đăng nhập" button.</t>
  </si>
  <si>
    <t>Sign In succeeds with:
 - User is redirected to Home page (/home)
 - Authenticated student navbar is displayed
 - Role is Student</t>
  </si>
  <si>
    <t>- Account "student1" has Student role and Active status.</t>
  </si>
  <si>
    <t>Codex / Playwright</t>
  </si>
  <si>
    <t>TC_AUTH_042</t>
  </si>
  <si>
    <t>Test signing in with Admin role and redirecting to Admin Dashboard.</t>
  </si>
  <si>
    <t>1. Go to Sign In page.
 2. Enter Login ID: "admin", Password: "admin123".
 3. Click "Đăng nhập" button.</t>
  </si>
  <si>
    <t>Sign In succeeds with:
 - User is redirected to Admin Dashboard (/admin/dashboard)
 - Admin dashboard view and sidebar menu are displayed
 - Role is Admin</t>
  </si>
  <si>
    <t>- Account "admin" has Admin role and Active status.</t>
  </si>
  <si>
    <t>TC_LM_DB_02</t>
  </si>
  <si>
    <t>Verify course-card fields and counts.</t>
  </si>
  <si>
    <t>1. Open Expert Dashboard with clean fixtures.
2. Locate course-nextjs.
3. Compare status, version, sections and enrollment count to its stored course object.</t>
  </si>
  <si>
    <t>The card shows PUBLISHED, v1.2, two sections and 42 students, with the fixture title/category/description/thumbnail. Counts use sections.length and _count.enrollments.</t>
  </si>
  <si>
    <t>TC_AUTH_043</t>
  </si>
  <si>
    <t>Test signing in with Manager role and redirecting to Manager Dashboard.</t>
  </si>
  <si>
    <t>1. Go to Sign In page.
 2. Enter Login ID: "manager1", Password: "admin123".
 3. Click "Đăng nhập" button.</t>
  </si>
  <si>
    <t>Sign In succeeds with:
 - User is redirected to Manager Dashboard (/manager/dashboard)
 - Manager dashboard view and management menu are displayed
 - Role is Manager</t>
  </si>
  <si>
    <t>- Account "manager1" has Manager role and Active status.</t>
  </si>
  <si>
    <t>TC_EXP_QLIST_02</t>
  </si>
  <si>
    <t>Verify switching between 'Quizzes' tab and 'Question Bank' tab.</t>
  </si>
  <si>
    <t>1. On Quiz screen, click 'Question Bank' tab.
 2. Inspect tab content.
 3. Click back to 'Quizzes' tab.</t>
  </si>
  <si>
    <t>View switches smoothly between Quiz List and Question Bank table without full page reload or loss of course context.</t>
  </si>
  <si>
    <t>TC_LM_DB_03</t>
  </si>
  <si>
    <t>Expert is on Quiz Management screen.</t>
  </si>
  <si>
    <t>Verify navigation from a course card to its curriculum editor.</t>
  </si>
  <si>
    <t>1. Click Soạn bài &amp; AI on course-cloud.
2. Inspect query id, course header and lesson tree.
3. Click the editor back arrow.</t>
  </si>
  <si>
    <t>Editor id is course-cloud and displays its Cloud course/section/lesson, not Next.js. Back opens /expert/studio.</t>
  </si>
  <si>
    <t>TC_AUTH_044</t>
  </si>
  <si>
    <t>Test signing in with Expert role and redirecting to Expert Dashboard.</t>
  </si>
  <si>
    <t>1. Go to Sign In page.
 2. Enter Login ID: "expert1", Password: "admin123".
 3. Click "Đăng nhập" button.</t>
  </si>
  <si>
    <t>Sign In succeeds with:
 - User is redirected to Expert Dashboard (/expert/dashboard)
 - Expert Studio view and course/lesson management are displayed
 - Role is Expert</t>
  </si>
  <si>
    <t>- Account "expert1" has Expert role and Active status.</t>
  </si>
  <si>
    <t>TC_LM_DB_04</t>
  </si>
  <si>
    <t>Verify course creation and persistence.</t>
  </si>
  <si>
    <t>1. Create course with title LM Test Course, description Integration draft, category Data Science &amp; AI, price 12.50.
2. Submit once and inspect storage, refreshed cards and audit logs.
3. Reload and open the new course editor.</t>
  </si>
  <si>
    <t>One new course is prepended, total increases by one, status DRAFT and version 1.0. authorId is user-expert-john. It has one introductory section and one TEXT lesson, with zero enrollments. COURSE_CREATED is written and data survives reload.</t>
  </si>
  <si>
    <t>TC_EXP_QLIST_03</t>
  </si>
  <si>
    <t>Verify Question Count badge in Quiz List reflects assigned questions.</t>
  </si>
  <si>
    <t>Function 5: Public Home Page &amp; Session Lifecycle</t>
  </si>
  <si>
    <t>1. Note Question Count badge of Quiz A (e.g. 3 Qs).
 2. Open Quiz Detail, assign 1 more question, and return to list.
 3. Inspect badge again.</t>
  </si>
  <si>
    <t>Question Count badge updates dynamically from '3 questions' to '4 questions'.</t>
  </si>
  <si>
    <t>Quiz A exists with assigned questions.</t>
  </si>
  <si>
    <t>TC_LM_DB_05</t>
  </si>
  <si>
    <t>Verify the selected Expert is recorded as course author.</t>
  </si>
  <si>
    <t>1. In the dedicated test profile set courson_active_user_id to user-expert-sarah and reload.
2. Create LM Sarah Course with a nonempty description.
3. Inspect the new record authorId.</t>
  </si>
  <si>
    <t>authorId is user-expert-sarah, although John is the first Expert in the fixture list.</t>
  </si>
  <si>
    <t>- Fresh sample data; Expert Sarah selected.
- Static build with local fallback.</t>
  </si>
  <si>
    <t>TC_AUTH_045</t>
  </si>
  <si>
    <t>Test viewing public Home page as Guest.</t>
  </si>
  <si>
    <t>1. Open browser without signing in.
 2. Go to Home page (/home).</t>
  </si>
  <si>
    <t>The public Home page is displayed with:
 - Hero headline and action buttons ("Khám phá khóa học", "Tạo tài khoản miễn phí")
 - Dynamic topic exploration categories
 - Featured courses list with "Xem khóa học" links
 - Guest navbar with "Đăng nhập" and "Bắt đầu ngay" buttons</t>
  </si>
  <si>
    <t>- User is not logged in (Guest).</t>
  </si>
  <si>
    <t>TC_LM_DB_06</t>
  </si>
  <si>
    <t>Verify current behavior when Student opens Expert Dashboard.</t>
  </si>
  <si>
    <t>1. Choose Student in the demo switch, then directly open /expert/studio.
2. Create LM Fallback Course with valid title/description.
3. Inspect authorId and whether a session/role denial occurs.</t>
  </si>
  <si>
    <t>Current prototype permits direct access and uses the first Expert ID, user-expert-john, in the created course. There is no server authentication or page-level ownership guard.</t>
  </si>
  <si>
    <t>- Fresh sample data; Student selected.
- Static build with local fallback.</t>
  </si>
  <si>
    <t>TC_EXP_QLIST_04</t>
  </si>
  <si>
    <t>Verify deleting a quiz prompts confirmation modal and deletes quiz.</t>
  </si>
  <si>
    <t>1. Click 'Delete' (trash icon) on Quiz B.
 2. Inspect confirmation dialog (MSG05).
 3. Click 'Confirm Delete'.</t>
  </si>
  <si>
    <t>Success toast appears: 'Quiz deleted successfully!'. Quiz B row disappears from table. Total quiz KPI badge decrements by 1.</t>
  </si>
  <si>
    <t>Target quiz exists in Quiz List.</t>
  </si>
  <si>
    <t>LM-RISK-01: Passed records the prototype auth gap: Student access and fallback Expert author. It does not verify role protection.</t>
  </si>
  <si>
    <t>TC_AUTH_046</t>
  </si>
  <si>
    <t>TC_LM_DB_07</t>
  </si>
  <si>
    <t>Test opening Register and Sign In pages from Home page.</t>
  </si>
  <si>
    <t>Verify required title and description for course creation.</t>
  </si>
  <si>
    <t>1. On Home page, click "Bắt đầu ngay" (or "Tạo tài khoản miễn phí").
 2. Return to Home page and click "Đăng nhập" button.</t>
  </si>
  <si>
    <t>1. Open Tạo Khóa Học Mới and leave title blank while description is set; submit.
2. Set title, clear description and submit.
3. Compare course count and COURSE_CREATED log count to before the test.</t>
  </si>
  <si>
    <t>Navigation succeeds with:
 - Register button opens Register page (/auth/register)
 - Sign In button opens Sign In page (/auth/login)</t>
  </si>
  <si>
    <t>Browser required-field validation blocks both submissions. No course or audit record is added. Modal remains open.</t>
  </si>
  <si>
    <t>- User is on Home page as Guest.</t>
  </si>
  <si>
    <t>TC_LM_DB_08</t>
  </si>
  <si>
    <t>Verify closing the creation modal does not create a course.</t>
  </si>
  <si>
    <t>1. Record course count, then open the create modal and type valid data.
2. Close with X without submitting.
3. Reload Expert Dashboard and inspect storage.</t>
  </si>
  <si>
    <t>No course or COURSE_CREATED event is added; list/count remain unchanged.</t>
  </si>
  <si>
    <t>TC_AUTH_047</t>
  </si>
  <si>
    <t>Test Home page navbar display after user signs in.</t>
  </si>
  <si>
    <t>1. Sign in with account "student1".
 2. View Home page.</t>
  </si>
  <si>
    <t>The navbar displays authenticated state with:
 - User avatar and initial letter: "S"
 - User full name and email in dropdown menu
 - Role badge: "Học viên" (STUDENT)
 - Menu items: Hồ sơ cá nhân, Khóa học của tôi, Đăng xuất
 - Guest buttons ("Đăng nhập", "Bắt đầu ngay") are hidden</t>
  </si>
  <si>
    <t>- User is signed in as Student.</t>
  </si>
  <si>
    <t>TC_EXP_QLIST_05</t>
  </si>
  <si>
    <t>TC_LM_DB_09</t>
  </si>
  <si>
    <t>Verify course creation from an empty dashboard.</t>
  </si>
  <si>
    <t>Verify cancel action on Delete Quiz dialog aborts deletion.</t>
  </si>
  <si>
    <t>1. Set courson_lms_courses to [] in the dedicated test profile.
2. Reload Expert Dashboard and observe empty state.
3. Use the Create first course action and submit valid metadata.</t>
  </si>
  <si>
    <t>1. Click 'Delete' on Quiz B.
 2. When confirmation modal appears, click 'Cancel' (or 'X').
 3. Inspect table.</t>
  </si>
  <si>
    <t>Total is zero with no-course guidance. Creation produces one card and total 1, then editor loads its default section/lesson.</t>
  </si>
  <si>
    <t>Modal closes. Quiz B remains in table intact without any modification.</t>
  </si>
  <si>
    <t>- Expert John selected; courses stored as [].
- Static build with local fallback.</t>
  </si>
  <si>
    <t>TC_AUTH_048</t>
  </si>
  <si>
    <t>Test signing out and returning to Guest state.</t>
  </si>
  <si>
    <t>1. Click user avatar on navbar to open account menu.
 2. Click "Đăng xuất" option (/auth/logout).</t>
  </si>
  <si>
    <t>Sign Out succeeds with:
 - Server session is invalidated (CURRENT_USER destroyed)
 - User is redirected to Home page (/home)
 - Navbar returns to Guest state with "Đăng nhập" and "Bắt đầu ngay" buttons</t>
  </si>
  <si>
    <t>- User is logged in.</t>
  </si>
  <si>
    <t>TC_LM_DB_10</t>
  </si>
  <si>
    <t>Verify fallback when stored course JSON is invalid.</t>
  </si>
  <si>
    <t>1. Set courson_lms_courses to the invalid JSON text {broken.
2. Reload Expert Dashboard.
3. Inspect cards and console.</t>
  </si>
  <si>
    <t>DataStore.get catches the parse failure and returns INITIAL_COURSES; Studio renders three fixtures. This read does not repair the malformed stored value by itself.</t>
  </si>
  <si>
    <t>- Expert John selected; malformed course JSON stored.
- Static build with local fallback.</t>
  </si>
  <si>
    <t>TC_AUTH_049</t>
  </si>
  <si>
    <t>Test accessing protected page after signing out.</t>
  </si>
  <si>
    <t>1. Sign out of system in test case COURSON_AUTH_043.
 2. Directly navigate to protected URL (e.g. /registrations/my or /admin/dashboard) in browser.</t>
  </si>
  <si>
    <t>Access is blocked with:
 - AuthenticationFilter intercepts request
 - User is redirected to Sign In page (/auth/login)
 - Protected content is not shown</t>
  </si>
  <si>
    <t>- User has signed out (session invalidated).</t>
  </si>
  <si>
    <t>TC_AUTH_050</t>
  </si>
  <si>
    <t>Test filtering courses by dynamic topic category on Home page.</t>
  </si>
  <si>
    <t>1. Open Home page (/home).
 2. Locate "KHÁM PHÁ THEO CHỦ ĐỀ" section displaying active categories loaded from settings.
 3. Click on a category topic pill (e.g. "Phát triển Web Fullstack").</t>
  </si>
  <si>
    <t>TC_LM_LL_01</t>
  </si>
  <si>
    <t>Navigation and filtering succeed with:
 - User is redirected to Course Catalog: /courses/catalog?categoryId={id}
 - Catalog page displays filtered list containing only published courses under the selected category
 - Selected category is highlighted</t>
  </si>
  <si>
    <t>Verify curriculum loading and initial lesson selection.</t>
  </si>
  <si>
    <t>- Active course categories configured in settings table.
 - Published courses exist under selected category.</t>
  </si>
  <si>
    <t>1. Open /expert/editor?id=course-nextjs with fresh fixtures.
2. Compare section/lesson arrays against the tree.
3. Inspect selected row and detail fields.</t>
  </si>
  <si>
    <t>Sections render in stored order, with three lessons in sec-1 and two in sec-2. les-1 is initially selected and its VIDEO title/content/media are loaded.</t>
  </si>
  <si>
    <t>TC_EXP_QCFG_01</t>
  </si>
  <si>
    <t>Verify creating new quiz with valid configuration parameters.</t>
  </si>
  <si>
    <t>1. Click '+ Create New Quiz'.
 2. Select Module 1.
 3. Enter Title: 'Midterm Assessment'.
 4. Enter Pass Score: 70.0, Time Limit: 45, Order: 2.
 5. Click 'Save Quiz Configuration'.</t>
  </si>
  <si>
    <t>TC_LM_LL_02</t>
  </si>
  <si>
    <t>Success toast appears: 'Quiz configuration saved successfully!'. Page redirects to Quiz Detail showing configured values.</t>
  </si>
  <si>
    <t>Verify the default course when the URL has no id.</t>
  </si>
  <si>
    <t>TC_AUTH_051</t>
  </si>
  <si>
    <t>Expert is on Quiz List screen.</t>
  </si>
  <si>
    <t>1. Open /expert/editor without id.
2. Inspect header, sections and selected lesson.</t>
  </si>
  <si>
    <t>Test searching published courses using search bar on Home page.</t>
  </si>
  <si>
    <t>course-nextjs is used; the Next.js course and its first lesson load.</t>
  </si>
  <si>
    <t>1. Open Home page (/home).
 2. In the navbar search input or catalog search bar, enter keyword: "Java".
 3. Press Enter or click search button.</t>
  </si>
  <si>
    <t>Search executes successfully with:
 - User is redirected to Course Catalog with keyword parameter: /courses/catalog?keyword=Java
 - Results list displays only published courses whose title or description contains the keyword (case-insensitive)</t>
  </si>
  <si>
    <t>- Published courses containing "Java" exist in database.</t>
  </si>
  <si>
    <t>TC_LM_LL_03</t>
  </si>
  <si>
    <t>Verify lesson selection updates the detail fields.</t>
  </si>
  <si>
    <t>1. Select les-2 TEXT and record editor values.
2. Select les-3 QUIZ, then les-4 VIDEO.
3. Compare fields with each stored record.</t>
  </si>
  <si>
    <t>Selection highlight and lessonTitle/contentType/lessonContent/mediaUrl follow the selected lesson. Empty optional values become empty strings; no data is saved simply by selecting.</t>
  </si>
  <si>
    <t>TC_AUTH_052</t>
  </si>
  <si>
    <t>Test role-adaptive action links on Home page featured courses.</t>
  </si>
  <si>
    <t>1. View Home page as Student, Expert, and Admin/Manager.
 2. Check action button label and click destination on featured course cards.</t>
  </si>
  <si>
    <t>Card actions dynamically adapt according to authenticated user role:
 - Student / Guest sees "Xem khóa học" linking to /courses/detail?id={id}
 - Expert sees "Quản lý bài học" linking to /expert/lessons?courseId={id}
 - Admin / Manager sees "Quản trị khóa học" linking to /admin/course-detail?id={id}</t>
  </si>
  <si>
    <t>- Published courses exist and are displayed in "Khóa học nổi bật" section.
 - Test accounts for Student, Expert, and Admin/Manager prepared.</t>
  </si>
  <si>
    <t>TC_EXP_QCFG_02</t>
  </si>
  <si>
    <t>Verify form validation when Quiz Title is left blank.</t>
  </si>
  <si>
    <t>1. Clear Title field (empty string).
 2. Fill valid Pass score and module.
 3. Click 'Save Quiz Configuration'.</t>
  </si>
  <si>
    <t>Form submission is blocked. Red inline message appears under Title: 'This field is required' (MSG02). Form is not saved.</t>
  </si>
  <si>
    <t>Expert is on Create/Edit Quiz form.</t>
  </si>
  <si>
    <t>TC_LM_LL_04</t>
  </si>
  <si>
    <t>Verify section creation and persistence.</t>
  </si>
  <si>
    <t>1. Click Thêm phần and enter LM Section.
2. Inspect course-nextjs sections and local storage.
3. Reload the editor.</t>
  </si>
  <si>
    <t>Exactly one empty section is appended with courseId course-nextjs, sectionTitle LM Section, orderIndex 3 and a string ID. Other sections remain unchanged and the new section persists.</t>
  </si>
  <si>
    <t>TC_EXP_QCFG_03</t>
  </si>
  <si>
    <t>Verify boundary validation rejects Pass Score &lt; 0% or &gt; 100%.</t>
  </si>
  <si>
    <t>1. In Pass Score field, enter -5.0. Click Save.
 2. Enter 105.0. Click Save.</t>
  </si>
  <si>
    <t>Form prevents submission. Red error displays: 'Pass score must be between 0 and 100'. Previous valid score is preserved.</t>
  </si>
  <si>
    <t>Expert is on Quiz Detail screen.</t>
  </si>
  <si>
    <t>TC_LM_LL_05</t>
  </si>
  <si>
    <t>Verify cancelled or empty section prompts do not create a section.</t>
  </si>
  <si>
    <t>1. Record section count.
2. Click Thêm phần then Cancel.
3. Repeat and submit an empty title; inspect storage.</t>
  </si>
  <si>
    <t>Section count and stored course remain unchanged. No new section is created.</t>
  </si>
  <si>
    <t>BUG_QUIZ_01</t>
  </si>
  <si>
    <t>Round 1: Form cho phép nhập Pass Score &gt; 100 % &gt;100% (ví dụ 105%), lưu cấu hình không hợp lệ vào hệ thống. 
Round 2: Dev đã bổ sung kiểm tra biên [ 0 , 100 ] [0,100] ở cả client &amp; server, hiển thị lỗi inline. Re-tested OK.</t>
  </si>
  <si>
    <t>TC_LM_LL_06</t>
  </si>
  <si>
    <t>Verify lesson creation in the selected section.</t>
  </si>
  <si>
    <t>1. Click the plus on sec-2 and enter LM Appended Lesson.
2. Inspect sec-2 and sec-1 in local storage.
3. Reload and select the new lesson.</t>
  </si>
  <si>
    <t>One lesson is appended only to sec-2 with sectionId sec-2, orderIndex 3, TEXT, empty lessonContent/mediaUrl and a string ID. sec-1 is unchanged. The lesson persists and selecting it opens those fields.</t>
  </si>
  <si>
    <t>TC_EXP_QCFG_04</t>
  </si>
  <si>
    <t>Verify untimed quiz configuration vs positive duration display.</t>
  </si>
  <si>
    <t>1. Clear Time Limit field (leave blank).
 2. Click Save and inspect summary.
 3. Edit Time Limit to 60 mins and save again.</t>
  </si>
  <si>
    <t>Step 2: Time limit KPI displays 'No limit'.
 Step 3: Time limit KPI updates to '60 mins'.</t>
  </si>
  <si>
    <t>Expert is editing quiz configuration.</t>
  </si>
  <si>
    <t>TC_LM_LL_07</t>
  </si>
  <si>
    <t>Verify cancelled or empty lesson prompts do not create a lesson.</t>
  </si>
  <si>
    <t>1. Record lessons in sec-1.
2. Use its plus button then Cancel.
3. Repeat with empty title and compare storage.</t>
  </si>
  <si>
    <t>No lesson is added; existing lesson IDs/order/selection remain unchanged.</t>
  </si>
  <si>
    <t>TC_LM_LL_08</t>
  </si>
  <si>
    <t>Verify adding a lesson retains the current selection.</t>
  </si>
  <si>
    <t>1. Select les-2, then add LM New Lesson to sec-1.
2. Observe the refreshed tree and editor selection.
3. Select the new row manually.</t>
  </si>
  <si>
    <t>The new lesson appears at the end; les-2 remains selected after fetchCourse(). The new lesson becomes selected only when clicked.</t>
  </si>
  <si>
    <t>TC_LM_LL_09</t>
  </si>
  <si>
    <t>Verify first-lesson creation in an empty first section.</t>
  </si>
  <si>
    <t>TC_EXP_QCFG_05</t>
  </si>
  <si>
    <t>Verify editing Title and Pass Score updates header and KPI cards.</t>
  </si>
  <si>
    <t>1. In dedicated test storage set course-nextjs.sections to one valid section with lessons=[].
2. Open the editor and inspect its empty detail panel.
3. Add LM First Lesson in that section.</t>
  </si>
  <si>
    <t>1. Update Title to 'Advanced OOP Master Quiz'.
 2. Update Pass Score from 50% to 80%.
 3. Click Save.</t>
  </si>
  <si>
    <t>Empty panel asks to select/add a lesson. After creating the first lesson in the first section, it is selected and a TEXT editor appears.</t>
  </si>
  <si>
    <t>Success message displays. Header updates to new title; Passing Score KPI card reflects 80%.</t>
  </si>
  <si>
    <t>- Expert John selected.
- course-nextjs first section has no lessons.
- Static build with local fallback.</t>
  </si>
  <si>
    <t>Target quiz exists in database.</t>
  </si>
  <si>
    <t>TC_LM_LL_10</t>
  </si>
  <si>
    <t>Verify the tree follows stored section/lesson array order.</t>
  </si>
  <si>
    <t>1. In dedicated storage swap les-1 and les-2 array positions while preserving their orderIndex values.
2. Open the editor with no previous selection.
3. Compare the displayed order and selected ID.</t>
  </si>
  <si>
    <t>Tree follows the stored array, so les-2 displays first and is selected. The page does not sort by orderIndex or expose reorder buttons.</t>
  </si>
  <si>
    <t>- Expert John selected.
- Lesson array reordered; orderIndex unchanged.
- Static build with local fallback.</t>
  </si>
  <si>
    <t>TC_LM_LD_01</t>
  </si>
  <si>
    <t>Verify saving TEXT lesson title and content.</t>
  </si>
  <si>
    <t>1. Select les-2; set title LM Updated Text and content ## Integration text.
2. Click Lưu Thay Đổi, close the alert and inspect tree/storage.
3. Reload and reselect the lesson.</t>
  </si>
  <si>
    <t>Title/content persist under the same lesson ID and section; tree label updates. Save alert appears and button returns to normal.</t>
  </si>
  <si>
    <t>TC_EXP_QBANK_01</t>
  </si>
  <si>
    <t>Verify Question Bank displays questions with type badges and points.</t>
  </si>
  <si>
    <t>1. Open Question Bank tab.
 2. Inspect table columns: Text, Type, Points, # Options.
 3. Hover mouse over truncated question text.</t>
  </si>
  <si>
    <t>Table renders rows with question preview, type badges (Single Choice / Multi / True-False), points, and option counts. Hover displays full text.</t>
  </si>
  <si>
    <t>Expert is on Question Bank tab.</t>
  </si>
  <si>
    <t>TC_LM_LD_02</t>
  </si>
  <si>
    <t>Verify saving VIDEO type and media URL.</t>
  </si>
  <si>
    <t>1. Select les-2; choose VIDEO and enter https://www.youtube.com/embed/dQw4w9WgXcQ.
2. Save, inspect les-2 and the unchanged les-1/les-3.
3. Reload and reselect les-2.</t>
  </si>
  <si>
    <t>les-2 retains the supplied VIDEO/mediaUrl under the same ID; unrelated lessons remain unchanged and the VIDEO icon appears.</t>
  </si>
  <si>
    <t>TC_EXP_QBANK_02</t>
  </si>
  <si>
    <t>Verify filtering Question Bank by Course Module.</t>
  </si>
  <si>
    <t>1. In Module filter dropdown, select 'Module 1'.
 2. Inspect questions.
 3. Switch filter dropdown to 'Module 2'.</t>
  </si>
  <si>
    <t>Step 2: Table displays only Module 1 questions.
 Step 3: Table updates immediately showing only Module 2 questions.</t>
  </si>
  <si>
    <t>TC_LM_LD_03</t>
  </si>
  <si>
    <t>Questions exist across Module 1 and 2.</t>
  </si>
  <si>
    <t>Verify saving DOCUMENT type and media URL.</t>
  </si>
  <si>
    <t>1. Select les-2, choose DOCUMENT, enter https://example.com/lesson.pdf and save.
2. Reload and reselect the lesson.</t>
  </si>
  <si>
    <t>contentType DOCUMENT and the exact mediaUrl persist. The row remains selectable even though the current tree has no DOCUMENT-specific icon.</t>
  </si>
  <si>
    <t>TC_LM_LD_04</t>
  </si>
  <si>
    <t>Verify clearing optional content and media fields.</t>
  </si>
  <si>
    <t>1. Select a lesson with stored lessonContent/mediaUrl.
2. Clear both fields, keep a nonempty title and save.
3. Reload and inspect the stored fields.</t>
  </si>
  <si>
    <t>Both values persist as empty strings; the adapter does not omit explicit empty optional values.</t>
  </si>
  <si>
    <t>TC_EXP_QBANK_03</t>
  </si>
  <si>
    <t>Verify deleting a question from Question Bank with modal dialog.</t>
  </si>
  <si>
    <t>1. Click 'Delete' icon for Question Q1.
 2. Inspect confirmation modal (MSG05).
 3. Click 'Confirm Delete'.</t>
  </si>
  <si>
    <t>Success toast appears: 'Question deleted from Question Bank successfully!'. Row disappears; tab counter badge decrements by 1.</t>
  </si>
  <si>
    <t>Question Q1 exists in Question Bank.</t>
  </si>
  <si>
    <t>TC_LM_LD_05</t>
  </si>
  <si>
    <t>Verify current behavior when the lesson title is empty.</t>
  </si>
  <si>
    <t>1. Record les-2 title; clear its title and change content to LM Empty Title Check.
2. Save, close the success alert, then reselect/reload les-2.</t>
  </si>
  <si>
    <t>The stored title remains the old nonempty value, while the changed content persists. Current UI does not show required-title validation because update_lesson ignores a falsy title.</t>
  </si>
  <si>
    <t>LM-RISK-02: Passed records missing required-title validation: the old title stays while changed content saves.</t>
  </si>
  <si>
    <t>TC_LM_LD_06</t>
  </si>
  <si>
    <t>Verify current behavior with a long title and invalid media URL.</t>
  </si>
  <si>
    <t>1. Select les-2; enter a 201-character title and mediaUrl not-a-url.
2. Save, reload and compare the stored values.</t>
  </si>
  <si>
    <t>Current local implementation stores both values without inline validation. No maximum length or URL-format constraint is implemented here.</t>
  </si>
  <si>
    <t>TC_EXP_QBANK_04</t>
  </si>
  <si>
    <t>Verify total question counter badge updates on add and delete.</t>
  </si>
  <si>
    <t>1. Note current total badge (e.g. [12]).
 2. Add a new valid question.
 3. Delete any 1 question.</t>
  </si>
  <si>
    <t>Step 2: Badge increments to [13].
 Step 3: Badge decrements back to [12].</t>
  </si>
  <si>
    <t>Question Bank tab is open.</t>
  </si>
  <si>
    <t>LM-RISK-03: Passed records missing title-length/URL validation: both inputs are stored.</t>
  </si>
  <si>
    <t>TC_LM_LD_07</t>
  </si>
  <si>
    <t>Verify current behavior when switching away from unsaved edits.</t>
  </si>
  <si>
    <t>1. Change les-2 title/content without saving.
2. Select les-1, then select les-2 again.
3. Compare editor and stored values.</t>
  </si>
  <si>
    <t>Unsaved values are discarded when selectLesson reloads fields; original values reappear. No dirty-form prompt is shown and no storage mutation occurs.</t>
  </si>
  <si>
    <t>LM-RISK-04: Passed records unsaved edits being discarded without confirmation.</t>
  </si>
  <si>
    <t>TC_LM_LD_08</t>
  </si>
  <si>
    <t>Verify lesson saving keeps the current course-review status.</t>
  </si>
  <si>
    <t>TC_EXP_QBANK_05</t>
  </si>
  <si>
    <t>1. Record course-nextjs PUBLISHED status and current approval count.
2. Save a changed lesson title/content.
3. Inspect course status, approvals and audit logs.</t>
  </si>
  <si>
    <t>Verify editing question text and points updates Question Bank list.</t>
  </si>
  <si>
    <t>Course remains PUBLISHED; no approval record or COURSE_SUBMITTED_FOR_REVIEW event is added by saving a lesson.</t>
  </si>
  <si>
    <t>1. Click 'Edit Question' on Question Q.
 2. Append ' (Revised v2)' to text.
 3. Change points from 1.0 to 3.0. Click Save.</t>
  </si>
  <si>
    <t>Success message displays. Table row reflects revised question text and updated 3.0 pts.</t>
  </si>
  <si>
    <t>Question Q exists in Question Bank.</t>
  </si>
  <si>
    <t>TC_LM_LD_09</t>
  </si>
  <si>
    <t>Verify the Save button is disabled during an active request.</t>
  </si>
  <si>
    <t>1. Use request interception to delay the curriculum response while keeping the normal local fallback after the delay.
2. Click Lưu Thay Đổi and try a second click while waiting.
3. Release the request and inspect final state.</t>
  </si>
  <si>
    <t>Save shows the running label and is disabled during isSavingLesson; only one save handler request starts. It is enabled again after completion.</t>
  </si>
  <si>
    <t>- Expert John and fresh sample data.
- Controlled delayed HTTP 503 curriculum response, followed by local fallback.</t>
  </si>
  <si>
    <t>Controlled HTTP delay/503 verifies UI timing and the real local fallback.</t>
  </si>
  <si>
    <t>TC_LM_LD_10</t>
  </si>
  <si>
    <t>Verify cancelling review submission leaves records unchanged.</t>
  </si>
  <si>
    <t>1. Open the editor on a course not PENDING_REVIEW; record status/approval count.
2. Click Gửi Duyệt Khóa Học and cancel the browser confirm.
3. Reload and compare records.</t>
  </si>
  <si>
    <t>No submit request or review/audit mutation occurs. Existing course status and approval count remain unchanged.</t>
  </si>
  <si>
    <t>TC_LM_LD_11</t>
  </si>
  <si>
    <t>Verify review submission updates dashboard and editor status.</t>
  </si>
  <si>
    <t>1. Open course-nextjs and confirm Gửi Duyệt Khóa Học.
2. Inspect courses, approvals and audit storage.
3. Return to Studio, then reopen/reload the editor.</t>
  </si>
  <si>
    <t>Course is PENDING_REVIEW. One PENDING approval records its course ID/version and a COURSE_SUBMITTED_FOR_REVIEW event is added. Studio badge matches; editor shows the waiting indicator instead of Submit.</t>
  </si>
  <si>
    <t>TC_LM_LD_12</t>
  </si>
  <si>
    <t>Verify AI generation rejects a blank prompt.</t>
  </si>
  <si>
    <t>1. Open Gemini assistant with no draft.
2. Set prompt to spaces and click Generate.
3. Inspect alert and network activity.</t>
  </si>
  <si>
    <t>An enter-prompt alert is shown. No /api/ai/generate request or lesson/storage update occurs.</t>
  </si>
  <si>
    <t>TC_LM_LD_13</t>
  </si>
  <si>
    <t>Verify AI LESSON fallback generation and preview.</t>
  </si>
  <si>
    <t>1. Select les-2 and open assistant; choose LESSON and prompt React components.
2. Generate with no Gemini key and HTTP API unavailable.
3. Compare preview and saved lesson content.</t>
  </si>
  <si>
    <t>A nonempty Markdown string containing the prompt subject appears after generation. Saved lesson data remains unchanged before Apply/Save; preview is not an AIContentDraft storage record.</t>
  </si>
  <si>
    <t>- Expert John and fresh sample data.
- API unavailable; no Gemini key.
- Built-in AI fallback enabled.</t>
  </si>
  <si>
    <t>TC_EXP_QAUTH_01</t>
  </si>
  <si>
    <t>Verify authoring Single Choice question with exactly 1 correct answer.</t>
  </si>
  <si>
    <t>1. Select Type: 'Single Choice'.
 2. Enter question text and points 2.0.
 3. Fill 4 option texts.
 4. Select radio button for Option 2.
 5. Click Save.</t>
  </si>
  <si>
    <t>Radio button marks Option 2 as correct. Question saves successfully; appears in list with Single Choice badge and 4 options.</t>
  </si>
  <si>
    <t>Built-in Gemini fallback tested; live Gemini was not exercised.</t>
  </si>
  <si>
    <t>Expert is in Add Question modal.</t>
  </si>
  <si>
    <t>TC_LM_LD_14</t>
  </si>
  <si>
    <t>Verify applying AI LESSON requires saving the lesson.</t>
  </si>
  <si>
    <t>1. Generate a LESSON preview for selected les-2; record its title and stored content.
2. Apply and inspect form/storage before saving.
3. Click Lưu Thay Đổi, reload and reselect.</t>
  </si>
  <si>
    <t>Apply copies generated text into lessonContent, sets TEXT, leaves title unchanged and closes modal. Storage is unchanged until Save; after Save the content persists.</t>
  </si>
  <si>
    <t>TC_LM_LD_15</t>
  </si>
  <si>
    <t>Verify closing and reopening the AI modal retains its preview.</t>
  </si>
  <si>
    <t>1. Generate a preview and close the assistant without applying.
2. Reopen the assistant while the editor stays mounted.
3. Inspect prompt/preview and stored lesson data.</t>
  </si>
  <si>
    <t>TC_EXP_QAUTH_02</t>
  </si>
  <si>
    <t>Lesson remains unchanged. Current React prompt/type/preview state is retained on reopen; closing alone neither applies nor persists it.</t>
  </si>
  <si>
    <t>Verify authoring Multi Choice question with multiple correct checkboxes.</t>
  </si>
  <si>
    <t>1. Select Type: 'Multi Choice'.
 2. Enter text and 4 options.
 3. Check checkboxes for Option 1, 2, and 4.
 4. Click Save.</t>
  </si>
  <si>
    <t>Multiple checkboxes maintain checked state simultaneously. Question saves with Multi Choice badge and 3 correct options.</t>
  </si>
  <si>
    <t>TC_LM_LD_16</t>
  </si>
  <si>
    <t>Verify applying AI QUIZ immediately saves quiz data.</t>
  </si>
  <si>
    <t>1. Select les-2 and generate QUIZ using the fallback prompt React basics.
2. Apply without pressing lesson Lưu Thay Đổi.
3. Inspect stored lesson/quizzes and reload/reselect it.</t>
  </si>
  <si>
    <t>A parsed quiz is saved immediately under les-2. Its contentType becomes QUIZ, passScore is 70, timeLimit 15, title uses current lessonTitle and questions match generated JSON. The modal closes; data survives reload.</t>
  </si>
  <si>
    <t>- Expert John and fresh sample data.
- API unavailable; no Gemini key.
- AI fallback returns valid quiz JSON.</t>
  </si>
  <si>
    <t>TC_EXP_QAUTH_03</t>
  </si>
  <si>
    <t>Verify True/False question locks options to 2 fixed choices ('True'/'False').</t>
  </si>
  <si>
    <t>Built-in quiz fallback tested; data saves through the local adapter.</t>
  </si>
  <si>
    <t>1. Switch Question Type to 'True / False'.
 2. Inspect options list.
 3. Verify Add/Delete buttons.
 4. Mark 'True' as correct and save.</t>
  </si>
  <si>
    <t>TC_LM_LD_17</t>
  </si>
  <si>
    <t>Options automatically lock to 2 fixed rows: 'True' and 'False'. Add/Delete buttons are hidden. Question saves with 1 correct answer.</t>
  </si>
  <si>
    <t>Verify invalid AI quiz JSON does not save quiz data.</t>
  </si>
  <si>
    <t>1. Intercept /api/ai/generate with HTTP 200 JSON {generatedText: "not JSON"}; select QUIZ and generate.
2. Record lesson/quizzes, then click Apply.
3. Observe modal/alert and inspect storage.</t>
  </si>
  <si>
    <t>JSON-format alert appears; the modal stays open and stored lesson/quizzes remain unchanged because parsing failed before save_quiz.</t>
  </si>
  <si>
    <t>- Expert John and fresh sample data.
- HTTP 200 AI stub returns generatedText: "not JSON".</t>
  </si>
  <si>
    <t>Malformed AI JSON supplied by an HTTP 200 test stub.</t>
  </si>
  <si>
    <t>TC_LM_LD_18</t>
  </si>
  <si>
    <t>Verify selecting QUIZ type alone does not generate questions.</t>
  </si>
  <si>
    <t>1. Choose QUIZ for a TEXT lesson with no quizzes.
2. Lưu Thay Đổi without generating/applying AI.
3. Inspect stored lesson and reload it.</t>
  </si>
  <si>
    <t>contentType becomes QUIZ, but no quizzes/questions are synthesized by update_lesson. AI save_quiz is a separate path.</t>
  </si>
  <si>
    <t>TC_EXP_QAUTH_04</t>
  </si>
  <si>
    <t>Verify validation enforces Default Points strictly greater than zero.</t>
  </si>
  <si>
    <t>1. In Default Points field, enter 0. Click Save.
 2. Enter -2.0. Click Save.</t>
  </si>
  <si>
    <t>Submission blocked. Red validation appears: 'Points must be greater than zero'. Form does not save non-positive points.</t>
  </si>
  <si>
    <t>Expert is on Question form.</t>
  </si>
  <si>
    <t>TC_LM_LD_19</t>
  </si>
  <si>
    <t>Verify the HTTP-success path for lesson saving.</t>
  </si>
  <si>
    <t>1. Intercept curriculum POST with HTTP 200 JSON {success:true}; intercept the following course GET with the updated course fixture.
2. Edit and save a lesson.
3. Inspect request payload, UI and original local store.</t>
  </si>
  <si>
    <t>The POST contains action update_lesson, course route ID, selected lessonId and the four form fields. API success is used; local DataStore fallback is not called. The UI reloads the returned course and shows success.</t>
  </si>
  <si>
    <t>- Expert John and fresh sample data.
- HTTP 200 stubs for curriculum POST and updated-course GET.</t>
  </si>
  <si>
    <t>BUG_QUIZ_02</t>
  </si>
  <si>
    <t>Round 1: Form chấp nhận Default Points ≤ 0 ≤0 (nhập 0 hoặc điểm âm -2.0) mà không chặn submit. 
Round 2: Dev đã bắt buộc points &gt; 0 và hiển thị viền đỏ cảnh báo. Re-tested OK.</t>
  </si>
  <si>
    <t>HTTP 200 test stubs verify the adapter contract; no deployed backend was tested.</t>
  </si>
  <si>
    <t>TC_LM_LD_20</t>
  </si>
  <si>
    <t>Verify storage failure is reported without a false success alert.</t>
  </si>
  <si>
    <t>TC_EXP_QAUTH_05</t>
  </si>
  <si>
    <t>1. In an isolated harness make Storage.setItem throw QuotaExceededError while reads remain available.
2. Edit a seeded lesson and click Lưu Thay Đổi.
3. Observe feedback and reload with the failure simulation removed.</t>
  </si>
  <si>
    <t>Verify minimum 2 answer options rule by disabling delete button.</t>
  </si>
  <si>
    <t>Saving reports failure and shows no success alert when Storage.setItem throws QuotaExceededError. The previously stored lesson remains unchanged after reload.</t>
  </si>
  <si>
    <t>1. In Single Choice form with 2 option rows, attempt to click delete icon.
 2. Leave second option blank and submit.</t>
  </si>
  <si>
    <t>- Expert John and fresh sample data.
- Isolated Storage.setItem QuotaExceededError injection; reads remain available.</t>
  </si>
  <si>
    <t>Delete icon is disabled or shows warning: 'Question must have at least 2 options' (GB-07). Blank option triggers inline validation.</t>
  </si>
  <si>
    <t>Question form has exactly 2 options.</t>
  </si>
  <si>
    <t>DEF_LM_001</t>
  </si>
  <si>
    <t>Actual: success alert appears, but stored/reloaded content is unchanged. DEF_LM_001; screenshots/TC_LM_LD_20.png and TC_LM_LD_20-trace.zip.</t>
  </si>
  <si>
    <t>TC_EXP_QASSIGN_01</t>
  </si>
  <si>
    <t>Verify assigning question from module bank to quiz with custom points.</t>
  </si>
  <si>
    <t>1. On Quiz Detail, click 'Add from Bank'.
 2. Select an unassigned question.
 3. Enter Assigned Points: 2.50.
 4. Click 'Add to Quiz'.</t>
  </si>
  <si>
    <t>Success toast appears. Question appears in Assigned Questions table. Total Questions KPI increments by +1, Total Points increases by +2.50.</t>
  </si>
  <si>
    <t>Quiz exists; unassigned question exists in same module.</t>
  </si>
  <si>
    <t>TC_EXP_QASSIGN_02</t>
  </si>
  <si>
    <t>Verify 'Add from Bank' modal strictly shows questions from the same module.</t>
  </si>
  <si>
    <t>1. Open Quiz Detail for Module 1 quiz.
 2. Click 'Add from Bank' modal.
 3. Inspect module badges of questions.</t>
  </si>
  <si>
    <t>Modal strictly displays questions authored under Module 1. Questions from Module 2 are filtered out (Rule GB-06).</t>
  </si>
  <si>
    <t>Course contains questions in Module 1 and Module 2.</t>
  </si>
  <si>
    <t>TC_EXP_QASSIGN_03</t>
  </si>
  <si>
    <t>Verify already-assigned question displays disabled 'Already Added' badge.</t>
  </si>
  <si>
    <t>1. Question Q1 is already assigned to Quiz 1.
 2. Open 'Add from Bank' modal for Quiz 1.
 3. Locate Question Q1.</t>
  </si>
  <si>
    <t>Question Q1 displays an 'Already Added' grey badge. Selection checkbox is disabled, preventing duplicate addition.</t>
  </si>
  <si>
    <t>Question Q1 is already in Quiz 1.</t>
  </si>
  <si>
    <t>BUG_QUIZ_03</t>
  </si>
  <si>
    <t>Round 1: Modal 'Add from Bank' vẫn cho phép click '+ Add' với câu hỏi đã có trong Quiz, gây lỗi duplicate. 
Round 2: Dev đã disable nút và hiển thị badge 'Already Added'. Re-tested OK.</t>
  </si>
  <si>
    <t>TC_EXP_QASSIGN_04</t>
  </si>
  <si>
    <t>Verify removing question from Quiz retains it in Question Bank.</t>
  </si>
  <si>
    <t>1. In Assigned Questions table, click 'Remove from Quiz' for Q1.
 2. Confirm popup.
 3. Navigate to Question Bank tab.</t>
  </si>
  <si>
    <t>Question Q1 disappears from Quiz 1 table; Total Questions KPI decrements by 1. In Question Bank tab, Q1 remains fully available.</t>
  </si>
  <si>
    <t>Quiz 1 has assigned question Q1.</t>
  </si>
  <si>
    <t>TC_EXP_QASSIGN_05</t>
  </si>
  <si>
    <t>Verify 'Create New Question' in Quiz Detail directly creates &amp; assigns question.</t>
  </si>
  <si>
    <t>1. Click top '+ Create New Question' button.
 2. Fill question text, select Single Choice, enter 4 options.
 3. Click 'Save Question'.</t>
  </si>
  <si>
    <t>Success toast displays: 'New question created and assigned to quiz!'. Question appears in Quiz table AND in module Question Bank.</t>
  </si>
  <si>
    <t>Toàn / Integration Test</t>
  </si>
  <si>
    <t>TC_LM_DB_11</t>
  </si>
  <si>
    <t>Verify batch video import parses YouTube URLs and creates multiple sequential lessons automatically.</t>
  </si>
  <si>
    <t>1. Log in as Expert author (expert@courson.edu.vn).
2. In the Create/Edit Course modal, paste a list of YouTube URLs into the batch video input area.
3. Submit the form.</t>
  </si>
  <si>
    <t>CourseService.parseBatchVideoResult parses each line, extracts YouTube video IDs, normalizes URLs to embed format (/embed/{id}), and inserts lessons sequentially with auto-incremented order_index.</t>
  </si>
  <si>
    <t>- Expert authenticated; valid YouTube URLs provided.</t>
  </si>
  <si>
    <t>Tested via LessonServlet.batchSaveLessons / parseBatchVideoResult.</t>
  </si>
  <si>
    <t>TC_LM_DB_12</t>
  </si>
  <si>
    <t>Verify AI course description generation using Gemini API based on title and category.</t>
  </si>
  <si>
    <t>1. In Create Course modal, enter Course Title 'Lập Trình Web Servlet JSP' and Category 'Lập trình'.
2. Click the 'Tạo mô tả bằng AI' button (GET /Courson/expert/generate-ai-description).
3. Observe the response and description textarea.</t>
  </si>
  <si>
    <t>API invokes Google Gemini AI service, generates a structured and comprehensive course description in Vietnamese, and populates the description field automatically.</t>
  </si>
  <si>
    <t>- Expert authenticated; GEMINI_API_KEY configured (or fallback template available).</t>
  </si>
  <si>
    <t>Handled by LessonServlet.generateAiDescription.</t>
  </si>
  <si>
    <t>TC_LM_DB_13</t>
  </si>
  <si>
    <t>Verify requesting course publication transitions course status from DRAFT to PENDING_REVIEW.</t>
  </si>
  <si>
    <t>1. On Expert Dashboard, locate a DRAFT course owned by the expert.
2. Click 'Gửi yêu cầu duyệt' (POST /Courson/expert/request-publish?courseId={id}).
3. Inspect course status in database and UI.</t>
  </si>
  <si>
    <t>Course status is updated to PENDING_REVIEW in database; UI shows 'Chờ duyệt' badge; course appears in Manager's review queue.</t>
  </si>
  <si>
    <t>- Expert authenticated; course currently in DRAFT status with at least 1 lesson.</t>
  </si>
  <si>
    <t>Handled by LessonServlet.requestPublish.</t>
  </si>
  <si>
    <t>TC_LM_DB_14</t>
  </si>
  <si>
    <t>Verify cancelling publication request reverts course status from PENDING_REVIEW to DRAFT.</t>
  </si>
  <si>
    <t>1. Locate a course in PENDING_REVIEW status.
2. Click 'Hủy yêu cầu duyệt' (POST /Courson/expert/cancel-request-publish?courseId={id}).
3. Inspect course status in database and UI.</t>
  </si>
  <si>
    <t>Course status is reverted to DRAFT in database; UI shows 'Bản nháp' badge; course is withdrawn from Manager's review queue.</t>
  </si>
  <si>
    <t>- Expert authenticated; course currently in PENDING_REVIEW status.</t>
  </si>
  <si>
    <t>Handled by LessonServlet.cancelRequestPublish.</t>
  </si>
  <si>
    <t>TC_LM_DB_15</t>
  </si>
  <si>
    <t>Verify archiving and unarchiving course on Expert Studio.</t>
  </si>
  <si>
    <t>1. In course action menu, select 'Lưu trữ khóa học' (/Courson/expert/archive-course).
2. Verify course moves to 'Lưu trữ' tab.
3. In 'Lưu trữ' tab, select 'Hủy lưu trữ' (/Courson/expert/unarchive-course).</t>
  </si>
  <si>
    <t>Archiving changes course status/flag; course is hidden from public listings; unarchiving restores course to its previous status.</t>
  </si>
  <si>
    <t>- Expert authenticated as course owner.</t>
  </si>
  <si>
    <t>Handled by LessonServlet.archiveCourse and unarchiveCourse.</t>
  </si>
  <si>
    <t>TC_LM_DB_16</t>
  </si>
  <si>
    <t>Verify Author Expert, Manager, and Admin can access and preview DRAFT courses.</t>
  </si>
  <si>
    <t>1. Log in as Expert author (expert@courson.edu.vn).
2. Navigate to /Courson/expert/lessons?courseId=3 and /Courson/expert/lesson-detail?courseId=3&amp;lessonId=...
3. Log in as Admin/Manager and navigate to /Courson/courses/course-detail?id=3.</t>
  </si>
  <si>
    <t>Expert author, Manager, and Admin successfully load the course details, lesson list, and editor; access is granted (HTTP 200); full syllabus and video previews are accessible.</t>
  </si>
  <si>
    <t>- Course ID 3 is in DRAFT status, authored by expert ID 3.</t>
  </si>
  <si>
    <t>Privileged roles bypass student-facing publication guards.</t>
  </si>
  <si>
    <t>TC_LM_LL_11</t>
  </si>
  <si>
    <t>Verify Expert can create, update title, and delete a module (section) in course curriculum.</t>
  </si>
  <si>
    <t>1. Log in as Expert (expert@courson.edu.vn) and open /Courson/expert/lessons?courseId=1.
2. Submit 'Thêm chương mới' with title 'Chuyên Đề Nâng Cao'.
3. Edit title to 'Chuyên Đề Nâng Cao &amp; Thực Chiến'.
4. Delete the empty module.</t>
  </si>
  <si>
    <t>Module is created with next order_index; update persists new title; deletion removes empty module and re-indexes remaining modules.</t>
  </si>
  <si>
    <t>Handled by LessonServlet.saveModule / deleteModule.</t>
  </si>
  <si>
    <t>TC_LM_LL_12</t>
  </si>
  <si>
    <t>Verify Expert can delete a lesson and sequential orders are automatically re-indexed.</t>
  </si>
  <si>
    <t>1. On Lesson List, click delete icon on a test lesson in a module.
2. Confirm deletion dialog.
3. Inspect remaining lessons in the module.</t>
  </si>
  <si>
    <t>Lesson record is deleted from database; remaining lessons retain sequential ordering without broken gaps; total lesson count on course card updates.</t>
  </si>
  <si>
    <t>Handled by LessonServlet.deleteLesson.</t>
  </si>
  <si>
    <t>TC_LM_LL_13</t>
  </si>
  <si>
    <t>Verify Expert cannot view or edit lesson list of another expert's course (IDOR defense).</t>
  </si>
  <si>
    <t>1. Log in as Expert 2 (or non-author expert).
2. Attempt to open /Courson/expert/lessons?courseId=1 (owned by Expert 1).
3. Observe response and redirection.</t>
  </si>
  <si>
    <t>CourseService.checkCourseOwnership throws SecurityException ('Bạn không có quyền quản lý khóa học này.'); system redirects to /Courson/expert/dashboard with flash error; no lesson list is leaked.</t>
  </si>
  <si>
    <t>- Authenticated as an Expert who is not the assigned expert of courseId 1.</t>
  </si>
  <si>
    <t>Handled by checkCourseOwnership in LessonServlet.showLessonList.</t>
  </si>
  <si>
    <t>TC_LM_LL_14</t>
  </si>
  <si>
    <t>Verify Expert cannot delete modules or lessons belonging to another expert's course.</t>
  </si>
  <si>
    <t>1. Log in as non-author expert.
2. Send POST /Courson/expert/delete-lesson?lessonId=1 and /Courson/expert/delete-module?moduleId=1.
3. Observe response and check database records.</t>
  </si>
  <si>
    <t>System validates ownership on module/lesson; throws SecurityException; redirects to dashboard with error; neither module nor lesson is deleted from the database.</t>
  </si>
  <si>
    <t>- Authenticated as non-author expert.</t>
  </si>
  <si>
    <t>Handled by checkLessonOwnership and checkModuleOwnership.</t>
  </si>
  <si>
    <t>Passed. Verified storage and database exception handling: SessionUtil.setFlashError catches exception and shows error toast; client draft save does not show false success alert on storage/network failure.</t>
  </si>
  <si>
    <t>TC_LM_LD_21</t>
  </si>
  <si>
    <t>Verify auto-fetching video title when pasting YouTube embed URL into lesson editor.</t>
  </si>
  <si>
    <t>1. Open Lesson Detail editor (/Courson/expert/lesson-detail?courseId=1&amp;lessonId=1).
2. Paste a valid YouTube link into the video URL field.
3. Trigger the auto-fetch API (/Courson/expert/get-video-title?url=...).</t>
  </si>
  <si>
    <t>Backend queries YouTube oEmbed API and returns the video's actual title in JSON; front-end auto-fills the Lesson Title input field if it was empty.</t>
  </si>
  <si>
    <t>- Expert authenticated; lesson editor opened.</t>
  </si>
  <si>
    <t>Handled by LessonServlet.getVideoTitle.</t>
  </si>
  <si>
    <t>TC_LM_LD_22</t>
  </si>
  <si>
    <t>Verify auto-saving lesson draft while editing lesson content.</t>
  </si>
  <si>
    <t>1. Open lesson editor (/Courson/expert/lesson-detail).
2. Type new content into title and description fields without clicking 'Lưu thay đổi'.
3. Trigger periodic auto-save POST /Courson/expert/save-lesson-draft.</t>
  </si>
  <si>
    <t>System saves temporary draft data to session/cache; returns JSON {'success': true}; original published lesson in database is not prematurely updated.</t>
  </si>
  <si>
    <t>- Expert authenticated; editing active lesson.</t>
  </si>
  <si>
    <t>Handled by LessonServlet.saveLessonDraft.</t>
  </si>
  <si>
    <t>TC_LM_LD_23</t>
  </si>
  <si>
    <t>Verify retrieving saved lesson draft when opening lesson editor.</t>
  </si>
  <si>
    <t>1. With draft saved previously, reopen lesson editor.
2. Request GET /Courson/expert/get-lesson-draft?lessonId={id}.</t>
  </si>
  <si>
    <t>System detects existing unsaved draft; prompts expert to restore draft; loads draft title and content into editor upon confirmation.</t>
  </si>
  <si>
    <t>- Existing draft saved for the lesson.</t>
  </si>
  <si>
    <t>Handled by LessonServlet.getLessonDraft.</t>
  </si>
  <si>
    <t>TC_LM_LD_24</t>
  </si>
  <si>
    <t>Verify Expert cannot edit or save lessons belonging to another expert's course (IDOR defense).</t>
  </si>
  <si>
    <t>1. Log in as non-author expert.
2. Send POST /Courson/expert/save-lesson with lessonId=1 (belonging to Expert 1's course).
3. Inspect database lesson record.</t>
  </si>
  <si>
    <t>CourseService.checkLessonOwnership detects ownership mismatch; throws SecurityException; request is rejected; lesson record in database remains unmodified.</t>
  </si>
  <si>
    <t>Handled by checkLessonOwnership in LessonServlet.saveLesson.</t>
  </si>
  <si>
    <t>Student Dashboard</t>
  </si>
  <si>
    <t>TC_LM_SD_01</t>
  </si>
  <si>
    <t>Verify Student Dashboard KPI cards calculate total, in-progress, completed courses and average progress.</t>
  </si>
  <si>
    <t>1. Log in with Student account (student@courson.edu.vn).
2. Open Student Dashboard (/Courson/registrations/my).
3. Compare KPI card numbers ('Tổng khóa học', 'Đang học', 'Đã hoàn thành', 'Tiến độ trung bình') against registrations and lesson_progress database records.</t>
  </si>
  <si>
    <t>4 KPI cards render exact numbers: Total enrolled courses = 3, In-progress = 2, Completed = 0, Average progress = 0.9%; numbers dynamically reflect active registrations.</t>
  </si>
  <si>
    <t>- Student authenticated with active and draft course registrations in database.</t>
  </si>
  <si>
    <t>Verified on views/registration/my.jsp KPI cards.</t>
  </si>
  <si>
    <t>TC_LM_SD_02</t>
  </si>
  <si>
    <t>Verify 'Tiếp tục bài học gần nhất' (Smart Resume Hero Banner) identifies latest in-progress lesson.</t>
  </si>
  <si>
    <t>1. As Student, access lesson 1 of course 1 ('Buổi 10.2 Nhân tướng học'), updating last_accessed_at timestamp.
2. Navigate to Student Dashboard (/Courson/registrations/my).
3. Inspect the hero banner at top of dashboard.</t>
  </si>
  <si>
    <t>Hero banner displays 'TIẾP TỤC BÀI HỌC GẦN NHẤT', Course title ('Nhân Tướng Học Ứng Dụng'), Lesson title ('Buổi 10.2 Nhân tướng học thầy Viên Minh'), progress percentage, video thumbnail preview, and last active timestamp.</t>
  </si>
  <si>
    <t>- Student authenticated with learning history in database.</t>
  </si>
  <si>
    <t>Verified via RegistrationService.getRecentLearning query.</t>
  </si>
  <si>
    <t>TC_LM_SD_03</t>
  </si>
  <si>
    <t>Verify clicking 'Tiếp tục học ngay' button directly opens the unfinished lesson.</t>
  </si>
  <si>
    <t>1. On Smart Resume Hero banner, click 'Tiếp tục học ngay' action button.
2. Observe the browser URL and rendered page.</t>
  </si>
  <si>
    <t>Browser redirects to /Courson/courses/learn?registrationId=1&amp;lessonId=1; learning screen opens with the exact lesson video ready to play.</t>
  </si>
  <si>
    <t>- Smart Resume hero banner displayed with active lesson.</t>
  </si>
  <si>
    <t>Direct navigation link verified.</t>
  </si>
  <si>
    <t>TC_LM_SD_04</t>
  </si>
  <si>
    <t>Verify Enrolled Courses Grid displays full course cards with category, instructor and progress.</t>
  </si>
  <si>
    <t>1. Scroll down to enrolled courses grid on /Courson/registrations/my.
2. Inspect each course card.</t>
  </si>
  <si>
    <t>Each course card shows high-res thumbnail, category badge (e.g. 'Nhân tướng học', 'Tử Vi &amp; Phong Thủy'), title, lesson completion counter (e.g. '0/17 bài'), visual progress bar (0%), status pill ('Đang học'), and action button.</t>
  </si>
  <si>
    <t>- Student authenticated with multiple registered courses.</t>
  </si>
  <si>
    <t>Verified enrolled course cards UI layout.</t>
  </si>
  <si>
    <t>TC_LM_SD_05</t>
  </si>
  <si>
    <t>Verify client-side instant search filters courses by title and instructor without page reload.</t>
  </si>
  <si>
    <t>1. On Student Dashboard, type 'Nhân Tướng' into search box.
2. Observe course grid.
3. Clear input and type 'Tử Vi'.</t>
  </si>
  <si>
    <t>Grid updates instantly in real time: typing 'Nhân Tướng' filters only Course 1; typing 'Tử Vi' filters Course 2; non-matching cards are hidden without reloading page or making HTTP requests.</t>
  </si>
  <si>
    <t>- Student dashboard loaded with multiple enrolled courses.</t>
  </si>
  <si>
    <t>Client-side fuzzy search logic verified.</t>
  </si>
  <si>
    <t>TC_LM_SD_06</t>
  </si>
  <si>
    <t>Verify quick filter tabs by course status (Tất cả, Đang học, Đã hoàn thành).</t>
  </si>
  <si>
    <t>1. Click 'Đang học' tab (count 2).
2. Click 'Đã hoàn thành' tab (count 0).
3. Click 'Tất cả' tab (count 3).</t>
  </si>
  <si>
    <t>'Đang học' tab shows 2 active courses; 'Đã hoàn thành' shows empty state message ('Chưa có khóa học nào'); 'Tất cả' restores all enrolled courses; active tab styling updates smoothly.</t>
  </si>
  <si>
    <t>- Student dashboard loaded with enrolled courses in various states.</t>
  </si>
  <si>
    <t>Instant status filtering verified.</t>
  </si>
  <si>
    <t>TC_LM_SD_07</t>
  </si>
  <si>
    <t>Verify multi-criteria sorting and category dropdown filtering.</t>
  </si>
  <si>
    <t>1. Select category 'Tử Vi &amp; Phong Thủy' in category dropdown.
2. Switch sort dropdown between 'Mới nhất', 'Tiến độ cao nhất', 'Tiêu đề A-Z'.</t>
  </si>
  <si>
    <t>Course grid displays only courses in the selected category; sorting rearranges cards according to registration date, progress %, or alphabetical order.</t>
  </si>
  <si>
    <t>- Courses belonging to multiple distinct categories.</t>
  </si>
  <si>
    <t>Multi-sort and category filtering verified.</t>
  </si>
  <si>
    <t>TC_LM_SD_08</t>
  </si>
  <si>
    <t>Verify empty state display when no courses match search criteria.</t>
  </si>
  <si>
    <t>1. In search box, enter a non-existent keyword 'xyz9999'.
2. Observe dashboard feedback.</t>
  </si>
  <si>
    <t>Course grid displays clean empty state illustration with message: 'Không tìm thấy khóa học nào phù hợp với bộ lọc hiện tại' and a button to reset search filters.</t>
  </si>
  <si>
    <t>- Student dashboard loaded.</t>
  </si>
  <si>
    <t>Empty search fallback UI verified.</t>
  </si>
  <si>
    <t>TC_LM_SD_09</t>
  </si>
  <si>
    <t>Verify Student cannot access course detail of a DRAFT or PENDING_REVIEW course via direct URL.</t>
  </si>
  <si>
    <t>1. Log in with a Student account (student@courson.edu.vn).
2. Attempt to navigate directly to /Courson/courses/course-detail?id=3 (or any course with status = 'DRAFT').
3. Observe the response, redirection, and alert message.</t>
  </si>
  <si>
    <t>System intercepts the unauthorized request, redirects the user to /Courson/courses with an error message: 'Khóa học hiện đang được cập nhật nội dung hoặc chưa sẵn sàng. Vui lòng quay lại sau!', and does not disclose course details or syllabus.</t>
  </si>
  <si>
    <t>- Deployed Courson LMS instance on Tomcat 10.1 &amp; PostgreSQL.
- Student account authenticated.
- Course ID 3 is in DRAFT status.</t>
  </si>
  <si>
    <t>Handled by CourseServlet.showCourseDetail security check.</t>
  </si>
  <si>
    <t>TC_LM_SD_10</t>
  </si>
  <si>
    <t>Verify Student cannot enroll in a DRAFT or PENDING_REVIEW course.</t>
  </si>
  <si>
    <t>1. Log in with a Student account.
2. Submit an enrollment request POST /Courson/courses/enroll with courseId=3 (DRAFT course).
3. Check HTTP response and registration database records.</t>
  </si>
  <si>
    <t>RegistrationService throws SecurityException ('Không thể đăng ký khóa học đang ở trạng thái bản nháp hoặc chờ duyệt.'); enrollment fails; no new registration record is created in the database.</t>
  </si>
  <si>
    <t>- Student authenticated.
- Target course is in DRAFT or PENDING_REVIEW status.</t>
  </si>
  <si>
    <t>Handled by RegistrationService.enroll status validation.</t>
  </si>
  <si>
    <t>TC_LM_SD_11</t>
  </si>
  <si>
    <t>Verify Student cannot access lesson content or video player of a DRAFT course via URL tampering.</t>
  </si>
  <si>
    <t>1. Log in with a Student account having a historical/tampered registration for a DRAFT course (e.g. registrationId=3).
2. Attempt to open /Courson/courses/learn?registrationId=3.
3. Observe the response.</t>
  </si>
  <si>
    <t>CourseService.getLearningContent detects that the course is in DRAFT status and user lacks admin/expert privileges; throws SecurityException; redirects to /Courson/courses with flash error; lesson video and syllabus are completely hidden.</t>
  </si>
  <si>
    <t>- Student authenticated.
- Registration ID points to a DRAFT course.</t>
  </si>
  <si>
    <t>Handled by CourseService.getLearningContent security guard.</t>
  </si>
  <si>
    <t>TC_LM_SD_12</t>
  </si>
  <si>
    <t>Verify Student Dashboard displays DRAFT courses with locked badge and disabled actions.</t>
  </si>
  <si>
    <t>1. Log in with Student account (student@courson.edu.vn).
2. Navigate to Student Dashboard (/Courson/registrations/my).
3. Inspect the course card corresponding to Course ID 3 (DRAFT).</t>
  </si>
  <si>
    <t>Course card renders a prominent 'Tạm khóa cập nhật' (Locked) badge with a lock icon; the card visual has opacity/grayscale styling; the 'Tiếp tục học' button is disabled with cursor 'not-allowed'; tooltip informs that course is temporarily locked for updates.</t>
  </si>
  <si>
    <t>- Student authenticated with registrations including a DRAFT course.</t>
  </si>
  <si>
    <t>Verified on views/registration/my.jsp UI.</t>
  </si>
  <si>
    <t>TC_LM_SD_13</t>
  </si>
  <si>
    <t>Verify Student Dashboard smart resume banner excludes DRAFT courses from recent learning.</t>
  </si>
  <si>
    <t>1. Touch/update lesson progress on a DRAFT course (e.g., via background test script).
2. Reload Student Dashboard (/Courson/registrations/my).
3. Inspect the 'Tiếp tục bài học gần nhất' (Smart Resume) hero banner.</t>
  </si>
  <si>
    <t>RegistrationService.getRecentLearning filters out registrations whose course status is DRAFT or PENDING_REVIEW; hero banner displays the most recent active PUBLISHED course (e.g., Course ID 1 - 'Nhân Tướng Học Ứng Dụng') instead of the DRAFT course.</t>
  </si>
  <si>
    <t>- Student authenticated.
- Student has progress on both PUBLISHED and DRAFT courses.</t>
  </si>
  <si>
    <t>Verified in RegistrationService.getRecentLearning query logic.</t>
  </si>
  <si>
    <t>TC_LM_SD_14</t>
  </si>
  <si>
    <t>Verify lesson video player and module syllabus navigation in learning view.</t>
  </si>
  <si>
    <t>1. Open /Courson/courses/learn?registrationId=1.
2. Inspect syllabus sidebar on left and video player in center.
3. Click on a different lesson in syllabus (e.g. Lesson 2: 'Buổi 10.1').</t>
  </si>
  <si>
    <t>Syllabus groups lessons by module with duration/status badges; clicking Lesson 2 switches video embed URL to Lesson 2, updates breadcrumb and active state in sidebar.</t>
  </si>
  <si>
    <t>- Student registered for Course 1.</t>
  </si>
  <si>
    <t>Video player and syllabus navigation verified.</t>
  </si>
  <si>
    <t>TC_LM_SD_15</t>
  </si>
  <si>
    <t>Verify previous / next lesson navigation buttons.</t>
  </si>
  <si>
    <t>1. On Lesson 1, inspect 'Bài trước' and 'Bài kế tiếp' buttons.
2. Click 'Bài kế tiếp -&gt;'.</t>
  </si>
  <si>
    <t>'Bài trước' is disabled on first lesson; clicking 'Bài kế tiếp' navigates directly to next sequential lesson in the syllabus (lessonId=2).</t>
  </si>
  <si>
    <t>- Learning screen opened on first lesson.</t>
  </si>
  <si>
    <t>Sequential lesson navigation verified.</t>
  </si>
  <si>
    <t>TC_LM_SD_16</t>
  </si>
  <si>
    <t>Verify 'Đánh dấu hoàn thành' marks lesson completed and updates course progress.</t>
  </si>
  <si>
    <t>1. Click 'Đánh dấu hoàn thành' button on active lesson.
2. Check database table lesson_progress and reload Student Dashboard.</t>
  </si>
  <si>
    <t>lesson_progress record has is_completed = true; button changes to 'Đã hoàn thành' with checked icon; course progress percentage on Student Dashboard recalculates and increments accordingly.</t>
  </si>
  <si>
    <t>- Active lesson in learning screen.</t>
  </si>
  <si>
    <t>Progress calculation and completion state verified.</t>
  </si>
  <si>
    <t>TC_LM_SD_17</t>
  </si>
  <si>
    <t>Verify personal notes rich-text editor auto-saves to database.</t>
  </si>
  <si>
    <t>1. In personal notes pane on right, type lesson notes with formatting.
2. Pause typing for 1 second to trigger auto-sync.
3. Refresh page and inspect notes content.</t>
  </si>
  <si>
    <t>Status badge shows 'Đã đồng bộ'; notes content is persisted in database and re-loaded seamlessly upon page reload.</t>
  </si>
  <si>
    <t>- Learning screen opened with personal notes pane.</t>
  </si>
  <si>
    <t>Personal notes auto-sync verified.</t>
  </si>
  <si>
    <t>TC_LM_SD_18</t>
  </si>
  <si>
    <t>Verify viewing Expert's Reference Note for the lesson.</t>
  </si>
  <si>
    <t>1. Expand 'Xem ghi chú tham khảo gốc của Chuyên gia (Expert's Reference)' accordion below video player.
2. Inspect content.</t>
  </si>
  <si>
    <t>Accordion expands smoothly displaying original study notes and reference materials written by the author Expert for this lesson.</t>
  </si>
  <si>
    <t>- Lesson contains author reference notes.</t>
  </si>
  <si>
    <t>Expert reference accordion verified.</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</si>
</sst>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d\-mmm\-yy"/>
    <numFmt numFmtId="165" formatCode="dd/mm/yyyy"/>
    <numFmt numFmtId="166" formatCode="yyyy-mm-dd"/>
  </numFmts>
  <fonts count="25">
    <font>
      <sz val="11.0"/>
      <color rgb="FF000000"/>
      <name val="MS PGothic"/>
      <scheme val="minor"/>
    </font>
    <font>
      <sz val="10.0"/>
      <color theme="1"/>
      <name val="Tahoma"/>
    </font>
    <font>
      <sz val="10.0"/>
      <color rgb="FFFF0000"/>
      <name val="Tahoma"/>
    </font>
    <font>
      <b/>
      <sz val="20.0"/>
      <color rgb="FF000000"/>
      <name val="Tahoma"/>
    </font>
    <font>
      <b/>
      <sz val="26.0"/>
      <color rgb="FFFF0000"/>
      <name val="Tahoma"/>
    </font>
    <font/>
    <font>
      <b/>
      <sz val="10.0"/>
      <color rgb="FF000000"/>
      <name val="Tahoma"/>
    </font>
    <font>
      <b/>
      <sz val="10.0"/>
      <color theme="1"/>
      <name val="Tahoma"/>
    </font>
    <font>
      <b/>
      <sz val="10.0"/>
      <color rgb="FFFF0000"/>
      <name val="Tahoma"/>
    </font>
    <font>
      <i/>
      <sz val="10.0"/>
      <color rgb="FF008000"/>
      <name val="Tahoma"/>
    </font>
    <font>
      <b/>
      <sz val="10.0"/>
      <color rgb="FF993300"/>
      <name val="Tahoma"/>
    </font>
    <font>
      <i/>
      <sz val="10.0"/>
      <color theme="1"/>
      <name val="Tahoma"/>
    </font>
    <font>
      <sz val="10.0"/>
      <color rgb="FF000000"/>
      <name val="Tahoma"/>
    </font>
    <font>
      <b/>
      <i/>
      <sz val="10.0"/>
      <color theme="1"/>
      <name val="Tahoma"/>
    </font>
    <font>
      <b/>
      <sz val="10.0"/>
      <color rgb="FFFFFFFF"/>
      <name val="Tahoma"/>
    </font>
    <font>
      <u/>
      <sz val="10.0"/>
      <color rgb="FF0000FF"/>
      <name val="Tahoma"/>
    </font>
    <font>
      <b/>
      <color theme="1"/>
      <name val="Tahoma"/>
    </font>
    <font>
      <sz val="11.0"/>
      <color theme="1"/>
      <name val="MS PGothic"/>
    </font>
    <font>
      <color theme="1"/>
      <name val="Tahoma"/>
    </font>
    <font>
      <u/>
      <color rgb="FF0000FF"/>
      <name val="Tahoma"/>
    </font>
    <font>
      <sz val="10.0"/>
      <color rgb="FFFFFFFF"/>
      <name val="Tahoma"/>
    </font>
    <font>
      <b/>
      <sz val="10.0"/>
      <color rgb="FF0000FF"/>
      <name val="Tahoma"/>
    </font>
    <font>
      <b/>
      <sz val="11.0"/>
      <color theme="1"/>
      <name val="Tahoma"/>
    </font>
    <font>
      <b/>
      <sz val="10.0"/>
      <color rgb="FF008000"/>
      <name val="Tahoma"/>
    </font>
    <font>
      <sz val="10.0"/>
      <color theme="1"/>
      <name val="MS PGothic"/>
    </font>
  </fonts>
  <fills count="7">
    <fill>
      <patternFill patternType="none"/>
    </fill>
    <fill>
      <patternFill patternType="lightGray"/>
    </fill>
    <fill>
      <patternFill patternType="solid">
        <fgColor rgb="FFFFFFFF"/>
        <bgColor rgb="FFFFFFFF"/>
      </patternFill>
    </fill>
    <fill>
      <patternFill patternType="solid">
        <fgColor rgb="FF333399"/>
        <bgColor rgb="FF333399"/>
      </patternFill>
    </fill>
    <fill>
      <patternFill patternType="solid">
        <fgColor rgb="FF000080"/>
        <bgColor rgb="FF000080"/>
      </patternFill>
    </fill>
    <fill>
      <patternFill patternType="solid">
        <fgColor rgb="FF76923C"/>
        <bgColor rgb="FF76923C"/>
      </patternFill>
    </fill>
    <fill>
      <patternFill patternType="solid">
        <fgColor rgb="FFCCFFFF"/>
        <bgColor rgb="FFCCFFFF"/>
      </patternFill>
    </fill>
  </fills>
  <borders count="54">
    <border/>
    <border>
      <left/>
      <right/>
      <top/>
      <bottom/>
    </border>
    <border>
      <left/>
      <top/>
      <bottom/>
    </border>
    <border>
      <left style="thin">
        <color rgb="FF000000"/>
      </left>
      <top style="thin">
        <color rgb="FF000000"/>
      </top>
      <bottom style="thin">
        <color rgb="FF000000"/>
      </bottom>
    </border>
    <border>
      <top/>
      <bottom/>
    </border>
    <border>
      <left style="medium">
        <color rgb="FF000000"/>
      </left>
      <right style="thin">
        <color rgb="FF000000"/>
      </right>
      <top style="medium">
        <color rgb="FF000000"/>
      </top>
      <bottom style="thin">
        <color rgb="FF000000"/>
      </bottom>
    </border>
    <border>
      <left style="thin">
        <color rgb="FF000000"/>
      </left>
      <top style="medium">
        <color rgb="FF000000"/>
      </top>
      <bottom style="thin">
        <color rgb="FF000000"/>
      </bottom>
    </border>
    <border>
      <top style="thin">
        <color rgb="FF000000"/>
      </top>
      <bottom style="thin">
        <color rgb="FF000000"/>
      </bottom>
    </border>
    <border>
      <top style="medium">
        <color rgb="FF000000"/>
      </top>
      <bottom style="thin">
        <color rgb="FF000000"/>
      </bottom>
    </border>
    <border>
      <right style="thin">
        <color rgb="FF000000"/>
      </right>
      <top style="thin">
        <color rgb="FF000000"/>
      </top>
      <bottom style="thin">
        <color rgb="FF000000"/>
      </bottom>
    </border>
    <border>
      <right style="medium">
        <color rgb="FF000000"/>
      </right>
      <top style="medium">
        <color rgb="FF000000"/>
      </top>
      <bottom style="thin">
        <color rgb="FF000000"/>
      </bottom>
    </border>
    <border>
      <left style="thin">
        <color rgb="FF000000"/>
      </left>
      <right style="thin">
        <color rgb="FF000000"/>
      </right>
      <top style="thin">
        <color rgb="FF000000"/>
      </top>
      <bottom style="thin">
        <color rgb="FF000000"/>
      </bottom>
    </border>
    <border>
      <left style="medium">
        <color rgb="FF000000"/>
      </left>
      <right style="thin">
        <color rgb="FF000000"/>
      </right>
      <top style="thin">
        <color rgb="FF000000"/>
      </top>
      <bottom style="thin">
        <color rgb="FF000000"/>
      </bottom>
    </border>
    <border>
      <right style="medium">
        <color rgb="FF000000"/>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medium">
        <color rgb="FF000000"/>
      </right>
      <top style="thin">
        <color rgb="FF000000"/>
      </top>
      <bottom style="thin">
        <color rgb="FF000000"/>
      </bottom>
    </border>
    <border>
      <left style="thin">
        <color rgb="FF000000"/>
      </left>
      <right style="hair">
        <color rgb="FF000000"/>
      </right>
      <top style="thin">
        <color rgb="FF000000"/>
      </top>
      <bottom style="hair">
        <color rgb="FF000000"/>
      </bottom>
    </border>
    <border>
      <left style="hair">
        <color rgb="FF000000"/>
      </left>
      <right style="hair">
        <color rgb="FF000000"/>
      </right>
      <top style="thin">
        <color rgb="FF000000"/>
      </top>
      <bottom style="hair">
        <color rgb="FF000000"/>
      </bottom>
    </border>
    <border>
      <left style="hair">
        <color rgb="FF000000"/>
      </left>
      <right/>
      <top style="thin">
        <color rgb="FF000000"/>
      </top>
      <bottom style="hair">
        <color rgb="FF000000"/>
      </bottom>
    </border>
    <border>
      <left style="hair">
        <color rgb="FF000000"/>
      </left>
      <right style="thin">
        <color rgb="FF000000"/>
      </right>
      <top style="thin">
        <color rgb="FF000000"/>
      </top>
      <bottom style="hair">
        <color rgb="FF000000"/>
      </bottom>
    </border>
    <border>
      <left style="thin">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hair">
        <color rgb="FF000000"/>
      </left>
      <right style="thin">
        <color rgb="FF000000"/>
      </right>
      <top style="hair">
        <color rgb="FF000000"/>
      </top>
      <bottom style="hair">
        <color rgb="FF000000"/>
      </bottom>
    </border>
    <border>
      <left style="medium">
        <color rgb="FF000000"/>
      </left>
      <right style="thin">
        <color rgb="FF000000"/>
      </right>
      <top style="thin">
        <color rgb="FF000000"/>
      </top>
      <bottom style="medium">
        <color rgb="FF000000"/>
      </bottom>
    </border>
    <border>
      <left/>
      <right style="medium">
        <color rgb="FF000000"/>
      </right>
      <top/>
      <bottom/>
    </border>
    <border>
      <left style="thin">
        <color rgb="FF000000"/>
      </left>
      <right style="thin">
        <color rgb="FF000000"/>
      </right>
      <top style="thin">
        <color rgb="FF000000"/>
      </top>
      <bottom style="medium">
        <color rgb="FF000000"/>
      </bottom>
    </border>
    <border>
      <left/>
      <right style="hair">
        <color rgb="FF000000"/>
      </right>
      <top style="thin">
        <color rgb="FF000000"/>
      </top>
      <bottom style="hair">
        <color rgb="FF000000"/>
      </bottom>
    </border>
    <border>
      <left style="thin">
        <color rgb="FF000000"/>
      </left>
      <right style="medium">
        <color rgb="FF000000"/>
      </right>
      <top style="thin">
        <color rgb="FF000000"/>
      </top>
      <bottom style="medium">
        <color rgb="FF000000"/>
      </bottom>
    </border>
    <border>
      <left style="hair">
        <color rgb="FF000000"/>
      </left>
      <right style="medium">
        <color rgb="FF000000"/>
      </right>
      <top style="thin">
        <color rgb="FF000000"/>
      </top>
      <bottom style="hair">
        <color rgb="FF000000"/>
      </bottom>
    </border>
    <border>
      <left/>
      <right style="hair">
        <color rgb="FF000000"/>
      </right>
      <top style="hair">
        <color rgb="FF000000"/>
      </top>
      <bottom style="hair">
        <color rgb="FF000000"/>
      </bottom>
    </border>
    <border>
      <left style="thin">
        <color rgb="FF000000"/>
      </left>
      <right style="hair">
        <color rgb="FF000000"/>
      </right>
      <top style="hair">
        <color rgb="FF000000"/>
      </top>
      <bottom style="thin">
        <color rgb="FF000000"/>
      </bottom>
    </border>
    <border>
      <left style="hair">
        <color rgb="FF000000"/>
      </left>
      <right style="hair">
        <color rgb="FF000000"/>
      </right>
      <top style="hair">
        <color rgb="FF000000"/>
      </top>
      <bottom style="thin">
        <color rgb="FF000000"/>
      </bottom>
    </border>
    <border>
      <left style="hair">
        <color rgb="FF000000"/>
      </left>
      <right style="thin">
        <color rgb="FF000000"/>
      </right>
      <top style="hair">
        <color rgb="FF000000"/>
      </top>
      <bottom style="thin">
        <color rgb="FF000000"/>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hair">
        <color rgb="FF000000"/>
      </left>
      <right style="medium">
        <color rgb="FF000000"/>
      </right>
      <top style="hair">
        <color rgb="FF000000"/>
      </top>
      <bottom style="hair">
        <color rgb="FF000000"/>
      </bottom>
    </border>
    <border>
      <right/>
      <top/>
      <bottom/>
    </border>
    <border>
      <left style="thin">
        <color rgb="FF000000"/>
      </left>
      <right style="hair">
        <color rgb="FF000000"/>
      </right>
      <top style="hair">
        <color rgb="FF000000"/>
      </top>
    </border>
    <border>
      <left style="hair">
        <color rgb="FF000000"/>
      </left>
      <right style="hair">
        <color rgb="FF000000"/>
      </right>
      <top style="hair">
        <color rgb="FF000000"/>
      </top>
    </border>
    <border>
      <left style="hair">
        <color rgb="FF000000"/>
      </left>
      <right style="thin">
        <color rgb="FF000000"/>
      </right>
      <top style="hair">
        <color rgb="FF000000"/>
      </top>
    </border>
    <border>
      <left style="hair">
        <color rgb="FF000000"/>
      </left>
      <right/>
      <top style="hair">
        <color rgb="FF000000"/>
      </top>
      <bottom style="hair">
        <color rgb="FF000000"/>
      </bottom>
    </border>
    <border>
      <left/>
      <right style="hair">
        <color rgb="FF000000"/>
      </right>
      <top style="hair">
        <color rgb="FF000000"/>
      </top>
      <bottom style="thin">
        <color rgb="FF000000"/>
      </bottom>
    </border>
    <border>
      <left style="hair">
        <color rgb="FF000000"/>
      </left>
      <right style="medium">
        <color rgb="FF000000"/>
      </right>
      <top style="hair">
        <color rgb="FF000000"/>
      </top>
      <bottom style="thin">
        <color rgb="FF000000"/>
      </bottom>
    </border>
    <border>
      <left/>
      <right/>
      <bottom/>
    </border>
    <border>
      <left style="thin">
        <color rgb="FF000000"/>
      </left>
      <right/>
      <top style="thin">
        <color rgb="FF000000"/>
      </top>
      <bottom style="thin">
        <color rgb="FF000000"/>
      </bottom>
    </border>
    <border>
      <left/>
      <right/>
      <top style="thin">
        <color rgb="FF000000"/>
      </top>
      <bottom style="thin">
        <color rgb="FF000000"/>
      </bottom>
    </border>
    <border>
      <left style="thin">
        <color rgb="FF000000"/>
      </left>
      <bottom style="thin">
        <color rgb="FF000000"/>
      </bottom>
    </border>
    <border>
      <left style="thin">
        <color rgb="FFD9D9D9"/>
      </left>
      <right style="thin">
        <color rgb="FFD9D9D9"/>
      </right>
    </border>
    <border>
      <left style="thin">
        <color rgb="FF000000"/>
      </left>
      <right style="thin">
        <color rgb="FF000000"/>
      </right>
      <top style="thin">
        <color rgb="FF000000"/>
      </top>
    </border>
    <border>
      <left style="thin">
        <color rgb="FFD9D9D9"/>
      </left>
      <bottom style="thin">
        <color rgb="FF000000"/>
      </bottom>
    </border>
    <border>
      <bottom style="thin">
        <color rgb="FF000000"/>
      </bottom>
    </border>
    <border>
      <right style="thin">
        <color rgb="FF000000"/>
      </right>
      <bottom style="thin">
        <color rgb="FF000000"/>
      </bottom>
    </border>
    <border>
      <left style="thin">
        <color rgb="FF000000"/>
      </left>
      <right style="thin">
        <color rgb="FF000000"/>
      </right>
      <bottom style="thin">
        <color rgb="FF000000"/>
      </bottom>
    </border>
  </borders>
  <cellStyleXfs count="1">
    <xf borderId="0" fillId="0" fontId="0" numFmtId="0" applyAlignment="1" applyFont="1"/>
  </cellStyleXfs>
  <cellXfs count="209">
    <xf borderId="0" fillId="0" fontId="0" numFmtId="0" xfId="0" applyAlignment="1" applyFont="1">
      <alignment readingOrder="0" shrinkToFit="0" vertical="bottom" wrapText="0"/>
    </xf>
    <xf borderId="0" fillId="0" fontId="1" numFmtId="0" xfId="0" applyAlignment="1" applyFont="1">
      <alignment horizontal="left"/>
    </xf>
    <xf borderId="0" fillId="0" fontId="1" numFmtId="0" xfId="0" applyFont="1"/>
    <xf borderId="1" fillId="2" fontId="1" numFmtId="0" xfId="0" applyBorder="1" applyFill="1" applyFont="1"/>
    <xf borderId="1" fillId="2" fontId="1" numFmtId="1" xfId="0" applyBorder="1" applyFill="1" applyFont="1" applyNumberFormat="1"/>
    <xf borderId="1" fillId="2" fontId="2" numFmtId="0" xfId="0" applyBorder="1" applyFill="1" applyFont="1"/>
    <xf borderId="1" fillId="2" fontId="1" numFmtId="0" xfId="0" applyAlignment="1" applyBorder="1" applyFill="1" applyFont="1">
      <alignment horizontal="left"/>
    </xf>
    <xf borderId="2" fillId="2" fontId="3" numFmtId="0" xfId="0" applyAlignment="1" applyBorder="1" applyFill="1" applyFont="1">
      <alignment horizontal="center"/>
    </xf>
    <xf borderId="3" fillId="0" fontId="4" numFmtId="0" xfId="0" applyAlignment="1" applyBorder="1" applyFont="1">
      <alignment horizontal="center" vertical="center"/>
    </xf>
    <xf borderId="4" fillId="0" fontId="5" numFmtId="0" xfId="0" applyBorder="1" applyFont="1"/>
    <xf borderId="1" fillId="2" fontId="3" numFmtId="0" xfId="0" applyAlignment="1" applyBorder="1" applyFill="1" applyFont="1">
      <alignment horizontal="left"/>
    </xf>
    <xf borderId="1" fillId="2" fontId="6" numFmtId="0" xfId="0" applyAlignment="1" applyBorder="1" applyFill="1" applyFont="1">
      <alignment horizontal="left"/>
    </xf>
    <xf borderId="5" fillId="2" fontId="7" numFmtId="0" xfId="0" applyAlignment="1" applyBorder="1" applyFill="1" applyFont="1">
      <alignment horizontal="center" shrinkToFit="0" vertical="top" wrapText="1"/>
    </xf>
    <xf borderId="3" fillId="0" fontId="3" numFmtId="0" xfId="0" applyAlignment="1" applyBorder="1" applyFont="1">
      <alignment horizontal="center" vertical="center"/>
    </xf>
    <xf borderId="6" fillId="2" fontId="1" numFmtId="0" xfId="0" applyAlignment="1" applyBorder="1" applyFill="1" applyFont="1">
      <alignment horizontal="left" shrinkToFit="0" vertical="top" wrapText="1"/>
    </xf>
    <xf borderId="7" fillId="0" fontId="5" numFmtId="0" xfId="0" applyBorder="1" applyFont="1"/>
    <xf borderId="8" fillId="0" fontId="5" numFmtId="0" xfId="0" applyBorder="1" applyFont="1"/>
    <xf borderId="10" fillId="0" fontId="5" numFmtId="0" xfId="0" applyBorder="1" applyFont="1"/>
    <xf borderId="9" fillId="0" fontId="5" numFmtId="0" xfId="0" applyBorder="1" applyFont="1"/>
    <xf borderId="1" fillId="2" fontId="8" numFmtId="0" xfId="0" applyAlignment="1" applyBorder="1" applyFill="1" applyFont="1">
      <alignment horizontal="left"/>
    </xf>
    <xf borderId="0" fillId="0" fontId="1" numFmtId="0" xfId="0" applyAlignment="1" applyFont="1">
      <alignment horizontal="center" vertical="center"/>
    </xf>
    <xf borderId="1" fillId="2" fontId="9" numFmtId="0" xfId="0" applyAlignment="1" applyBorder="1" applyFill="1" applyFont="1">
      <alignment shrinkToFit="0" wrapText="1"/>
    </xf>
    <xf borderId="1" fillId="2" fontId="7" numFmtId="0" xfId="0" applyBorder="1" applyFill="1" applyFont="1"/>
    <xf borderId="1" fillId="2" fontId="10" numFmtId="0" xfId="0" applyAlignment="1" applyBorder="1" applyFill="1" applyFont="1">
      <alignment horizontal="left"/>
    </xf>
    <xf borderId="1" fillId="2" fontId="9" numFmtId="0" xfId="0" applyAlignment="1" applyBorder="1" applyFill="1" applyFont="1">
      <alignment horizontal="left" shrinkToFit="0" wrapText="1"/>
    </xf>
    <xf borderId="3" fillId="2" fontId="10" numFmtId="1" xfId="0" applyBorder="1" applyFill="1" applyFont="1" applyNumberFormat="1"/>
    <xf borderId="1" fillId="2" fontId="1" numFmtId="0" xfId="0" applyAlignment="1" applyBorder="1" applyFill="1" applyFont="1">
      <alignment shrinkToFit="0" wrapText="1"/>
    </xf>
    <xf borderId="0" fillId="0" fontId="9" numFmtId="0" xfId="0" applyAlignment="1" applyFont="1">
      <alignment horizontal="left"/>
    </xf>
    <xf borderId="1" fillId="2" fontId="1" numFmtId="164" xfId="0" applyBorder="1" applyFill="1" applyFont="1" applyNumberFormat="1"/>
    <xf borderId="1" fillId="2" fontId="2" numFmtId="0" xfId="0" applyAlignment="1" applyBorder="1" applyFill="1" applyFont="1">
      <alignment shrinkToFit="0" wrapText="1"/>
    </xf>
    <xf borderId="11" fillId="2" fontId="7" numFmtId="0" xfId="0" applyAlignment="1" applyBorder="1" applyFill="1" applyFont="1">
      <alignment horizontal="left"/>
    </xf>
    <xf borderId="11" fillId="2" fontId="10" numFmtId="0" xfId="0" applyAlignment="1" applyBorder="1" applyFill="1" applyFont="1">
      <alignment horizontal="left" vertical="center"/>
    </xf>
    <xf borderId="1" fillId="2" fontId="12" numFmtId="0" xfId="0" applyBorder="1" applyFill="1" applyFont="1"/>
    <xf borderId="3" fillId="0" fontId="11" numFmtId="0" xfId="0" applyAlignment="1" applyBorder="1" applyFont="1">
      <alignment horizontal="left"/>
    </xf>
    <xf borderId="3" fillId="2" fontId="9" numFmtId="0" xfId="0" applyAlignment="1" applyBorder="1" applyFill="1" applyFont="1">
      <alignment horizontal="left"/>
    </xf>
    <xf borderId="9" fillId="0" fontId="1" numFmtId="0" xfId="0" applyBorder="1" applyFont="1"/>
    <xf borderId="12" fillId="2" fontId="7" numFmtId="0" xfId="0" applyAlignment="1" applyBorder="1" applyFill="1" applyFont="1">
      <alignment horizontal="center" shrinkToFit="0" vertical="top" wrapText="1"/>
    </xf>
    <xf borderId="3" fillId="2" fontId="1" numFmtId="0" xfId="0" applyAlignment="1" applyBorder="1" applyFill="1" applyFont="1">
      <alignment horizontal="left" shrinkToFit="0" vertical="top" wrapText="1"/>
    </xf>
    <xf borderId="13" fillId="0" fontId="5" numFmtId="0" xfId="0" applyBorder="1" applyFont="1"/>
    <xf borderId="9" fillId="0" fontId="11" numFmtId="165" xfId="0" applyAlignment="1" applyBorder="1" applyFont="1" applyNumberFormat="1">
      <alignment horizontal="left"/>
    </xf>
    <xf borderId="3" fillId="2" fontId="10" numFmtId="0" xfId="0" applyAlignment="1" applyBorder="1" applyFill="1" applyFont="1">
      <alignment horizontal="left"/>
    </xf>
    <xf borderId="14" fillId="2" fontId="10" numFmtId="0" xfId="0" applyAlignment="1" applyBorder="1" applyFill="1" applyFont="1">
      <alignment horizontal="left"/>
    </xf>
    <xf borderId="11" fillId="2" fontId="7" numFmtId="0" xfId="0" applyAlignment="1" applyBorder="1" applyFill="1" applyFont="1">
      <alignment vertical="center"/>
    </xf>
    <xf borderId="3" fillId="2" fontId="10" numFmtId="1" xfId="0" applyAlignment="1" applyBorder="1" applyFill="1" applyFont="1" applyNumberFormat="1">
      <alignment shrinkToFit="0" vertical="center" wrapText="1"/>
    </xf>
    <xf borderId="14" fillId="2" fontId="1" numFmtId="0" xfId="0" applyAlignment="1" applyBorder="1" applyFill="1" applyFont="1">
      <alignment vertical="top"/>
    </xf>
    <xf borderId="3" fillId="2" fontId="9" numFmtId="0" xfId="0" applyAlignment="1" applyBorder="1" applyFill="1" applyFont="1">
      <alignment shrinkToFit="0" vertical="top" wrapText="1"/>
    </xf>
    <xf borderId="12" fillId="2" fontId="13" numFmtId="0" xfId="0" applyAlignment="1" applyBorder="1" applyFill="1" applyFont="1">
      <alignment horizontal="center" shrinkToFit="0" vertical="top" wrapText="1"/>
    </xf>
    <xf borderId="11" fillId="2" fontId="13" numFmtId="0" xfId="0" applyAlignment="1" applyBorder="1" applyFill="1" applyFont="1">
      <alignment horizontal="center" shrinkToFit="0" vertical="top" wrapText="1"/>
    </xf>
    <xf borderId="1" fillId="2" fontId="10" numFmtId="1" xfId="0" applyBorder="1" applyFill="1" applyFont="1" applyNumberFormat="1"/>
    <xf borderId="3" fillId="2" fontId="11" numFmtId="0" xfId="0" applyAlignment="1" applyBorder="1" applyFill="1" applyFont="1">
      <alignment horizontal="left"/>
    </xf>
    <xf borderId="15" fillId="2" fontId="13" numFmtId="0" xfId="0" applyAlignment="1" applyBorder="1" applyFill="1" applyFont="1">
      <alignment horizontal="center" shrinkToFit="0" vertical="top" wrapText="1"/>
    </xf>
    <xf borderId="9" fillId="0" fontId="11" numFmtId="0" xfId="0" applyAlignment="1" applyBorder="1" applyFont="1">
      <alignment horizontal="left"/>
    </xf>
    <xf borderId="1" fillId="2" fontId="6" numFmtId="0" xfId="0" applyAlignment="1" applyBorder="1" applyFill="1" applyFont="1">
      <alignment horizontal="center" shrinkToFit="0" vertical="center" wrapText="1"/>
    </xf>
    <xf borderId="1" fillId="2" fontId="1" numFmtId="0" xfId="0" applyAlignment="1" applyBorder="1" applyFill="1" applyFont="1">
      <alignment horizontal="center" shrinkToFit="0" wrapText="1"/>
    </xf>
    <xf borderId="1" fillId="2" fontId="1" numFmtId="0" xfId="0" applyAlignment="1" applyBorder="1" applyFill="1" applyFont="1">
      <alignment vertical="center"/>
    </xf>
    <xf borderId="0" fillId="0" fontId="7" numFmtId="0" xfId="0" applyFont="1"/>
    <xf borderId="1" fillId="2" fontId="1" numFmtId="1" xfId="0" applyAlignment="1" applyBorder="1" applyFill="1" applyFont="1" applyNumberFormat="1">
      <alignment vertical="center"/>
    </xf>
    <xf borderId="1" fillId="2" fontId="2" numFmtId="0" xfId="0" applyAlignment="1" applyBorder="1" applyFill="1" applyFont="1">
      <alignment horizontal="center" shrinkToFit="0" wrapText="1"/>
    </xf>
    <xf borderId="1" fillId="2" fontId="1" numFmtId="0" xfId="0" applyAlignment="1" applyBorder="1" applyFill="1" applyFont="1">
      <alignment horizontal="left" vertical="center"/>
    </xf>
    <xf borderId="0" fillId="0" fontId="10" numFmtId="0" xfId="0" applyAlignment="1" applyFont="1">
      <alignment horizontal="left"/>
    </xf>
    <xf borderId="11" fillId="2" fontId="10" numFmtId="0" xfId="0" applyAlignment="1" applyBorder="1" applyFill="1" applyFont="1">
      <alignment vertical="center"/>
    </xf>
    <xf borderId="1" fillId="2" fontId="7" numFmtId="0" xfId="0" applyAlignment="1" applyBorder="1" applyFill="1" applyFont="1">
      <alignment horizontal="center"/>
    </xf>
    <xf borderId="16" fillId="3" fontId="14" numFmtId="1" xfId="0" applyAlignment="1" applyBorder="1" applyFill="1" applyFont="1" applyNumberFormat="1">
      <alignment horizontal="center" vertical="center"/>
    </xf>
    <xf borderId="0" fillId="0" fontId="7" numFmtId="0" xfId="0" applyAlignment="1" applyFont="1">
      <alignment horizontal="left"/>
    </xf>
    <xf borderId="17" fillId="3" fontId="14" numFmtId="0" xfId="0" applyAlignment="1" applyBorder="1" applyFill="1" applyFont="1">
      <alignment horizontal="center" vertical="center"/>
    </xf>
    <xf borderId="18" fillId="3" fontId="14" numFmtId="0" xfId="0" applyAlignment="1" applyBorder="1" applyFill="1" applyFont="1">
      <alignment horizontal="center" vertical="center"/>
    </xf>
    <xf borderId="19" fillId="3" fontId="14" numFmtId="0" xfId="0" applyAlignment="1" applyBorder="1" applyFill="1" applyFont="1">
      <alignment horizontal="center" vertical="center"/>
    </xf>
    <xf borderId="16" fillId="4" fontId="14" numFmtId="164" xfId="0" applyAlignment="1" applyBorder="1" applyFill="1" applyFont="1" applyNumberFormat="1">
      <alignment horizontal="center" vertical="center"/>
    </xf>
    <xf borderId="11" fillId="2" fontId="1" numFmtId="0" xfId="0" applyAlignment="1" applyBorder="1" applyFill="1" applyFont="1">
      <alignment horizontal="center" shrinkToFit="0" vertical="top" wrapText="1"/>
    </xf>
    <xf borderId="17" fillId="4" fontId="14" numFmtId="0" xfId="0" applyAlignment="1" applyBorder="1" applyFill="1" applyFont="1">
      <alignment horizontal="center" vertical="center"/>
    </xf>
    <xf borderId="20" fillId="2" fontId="1" numFmtId="1" xfId="0" applyAlignment="1" applyBorder="1" applyFill="1" applyFont="1" applyNumberFormat="1">
      <alignment vertical="center"/>
    </xf>
    <xf borderId="19" fillId="4" fontId="14" numFmtId="0" xfId="0" applyAlignment="1" applyBorder="1" applyFill="1" applyFont="1">
      <alignment horizontal="center" vertical="center"/>
    </xf>
    <xf borderId="21" fillId="2" fontId="1" numFmtId="0" xfId="0" applyAlignment="1" applyBorder="1" applyFill="1" applyFont="1">
      <alignment horizontal="left" vertical="center"/>
    </xf>
    <xf borderId="0" fillId="0" fontId="1" numFmtId="0" xfId="0" applyAlignment="1" applyFont="1">
      <alignment vertical="center"/>
    </xf>
    <xf borderId="15" fillId="2" fontId="1" numFmtId="0" xfId="0" applyAlignment="1" applyBorder="1" applyFill="1" applyFont="1">
      <alignment horizontal="center" shrinkToFit="0" vertical="top" wrapText="1"/>
    </xf>
    <xf borderId="1" fillId="2" fontId="12" numFmtId="0" xfId="0" applyAlignment="1" applyBorder="1" applyFill="1" applyFont="1">
      <alignment horizontal="center" shrinkToFit="0" vertical="center" wrapText="1"/>
    </xf>
    <xf borderId="3" fillId="2" fontId="9" numFmtId="0" xfId="0" applyAlignment="1" applyBorder="1" applyFill="1" applyFont="1">
      <alignment vertical="top"/>
    </xf>
    <xf borderId="20" fillId="0" fontId="11" numFmtId="165" xfId="0" applyAlignment="1" applyBorder="1" applyFont="1" applyNumberFormat="1">
      <alignment shrinkToFit="0" vertical="top" wrapText="1"/>
    </xf>
    <xf borderId="21" fillId="0" fontId="1" numFmtId="49" xfId="0" applyAlignment="1" applyBorder="1" applyFont="1" applyNumberFormat="1">
      <alignment horizontal="left" vertical="top"/>
    </xf>
    <xf borderId="21" fillId="0" fontId="1" numFmtId="0" xfId="0" applyAlignment="1" applyBorder="1" applyFont="1">
      <alignment vertical="top"/>
    </xf>
    <xf borderId="21" fillId="0" fontId="1" numFmtId="0" xfId="0" applyAlignment="1" applyBorder="1" applyFont="1">
      <alignment shrinkToFit="0" vertical="top" wrapText="1"/>
    </xf>
    <xf borderId="1" fillId="2" fontId="10" numFmtId="0" xfId="0" applyBorder="1" applyFill="1" applyFont="1"/>
    <xf borderId="1" fillId="2" fontId="9" numFmtId="0" xfId="0" applyBorder="1" applyFill="1" applyFont="1"/>
    <xf borderId="22" fillId="0" fontId="1" numFmtId="0" xfId="0" applyAlignment="1" applyBorder="1" applyFont="1">
      <alignment shrinkToFit="0" vertical="top" wrapText="1"/>
    </xf>
    <xf borderId="0" fillId="0" fontId="1" numFmtId="0" xfId="0" applyAlignment="1" applyFont="1">
      <alignment vertical="top"/>
    </xf>
    <xf borderId="21" fillId="2" fontId="15" numFmtId="0" xfId="0" applyAlignment="1" applyBorder="1" applyFill="1" applyFont="1">
      <alignment horizontal="left" vertical="center"/>
    </xf>
    <xf borderId="20" fillId="0" fontId="11" numFmtId="0" xfId="0" applyAlignment="1" applyBorder="1" applyFont="1">
      <alignment horizontal="right" readingOrder="0" shrinkToFit="0" vertical="top" wrapText="1"/>
    </xf>
    <xf borderId="22" fillId="2" fontId="1" numFmtId="0" xfId="0" applyAlignment="1" applyBorder="1" applyFill="1" applyFont="1">
      <alignment horizontal="left" vertical="center"/>
    </xf>
    <xf borderId="21" fillId="0" fontId="1" numFmtId="49" xfId="0" applyAlignment="1" applyBorder="1" applyFont="1" applyNumberFormat="1">
      <alignment horizontal="left" readingOrder="0" vertical="top"/>
    </xf>
    <xf borderId="23" fillId="2" fontId="13" numFmtId="0" xfId="0" applyAlignment="1" applyBorder="1" applyFill="1" applyFont="1">
      <alignment horizontal="center" shrinkToFit="0" vertical="top" wrapText="1"/>
    </xf>
    <xf borderId="21" fillId="0" fontId="1" numFmtId="0" xfId="0" applyAlignment="1" applyBorder="1" applyFont="1">
      <alignment readingOrder="0" shrinkToFit="0" vertical="top" wrapText="1"/>
    </xf>
    <xf borderId="24" fillId="2" fontId="1" numFmtId="0" xfId="0" applyBorder="1" applyFill="1" applyFont="1"/>
    <xf borderId="25" fillId="2" fontId="1" numFmtId="0" xfId="0" applyAlignment="1" applyBorder="1" applyFill="1" applyFont="1">
      <alignment horizontal="center" shrinkToFit="0" vertical="top" wrapText="1"/>
    </xf>
    <xf borderId="26" fillId="4" fontId="14" numFmtId="0" xfId="0" applyAlignment="1" applyBorder="1" applyFill="1" applyFont="1">
      <alignment horizontal="center"/>
    </xf>
    <xf borderId="17" fillId="4" fontId="14" numFmtId="0" xfId="0" applyAlignment="1" applyBorder="1" applyFill="1" applyFont="1">
      <alignment horizontal="center"/>
    </xf>
    <xf borderId="21" fillId="0" fontId="1" numFmtId="49" xfId="0" applyAlignment="1" applyBorder="1" applyFont="1" applyNumberFormat="1">
      <alignment horizontal="left" shrinkToFit="0" vertical="top" wrapText="1"/>
    </xf>
    <xf borderId="17" fillId="4" fontId="14" numFmtId="0" xfId="0" applyAlignment="1" applyBorder="1" applyFill="1" applyFont="1">
      <alignment horizontal="center" shrinkToFit="0" wrapText="1"/>
    </xf>
    <xf borderId="18" fillId="4" fontId="14" numFmtId="0" xfId="0" applyAlignment="1" applyBorder="1" applyFill="1" applyFont="1">
      <alignment horizontal="center"/>
    </xf>
    <xf borderId="27" fillId="2" fontId="1" numFmtId="0" xfId="0" applyAlignment="1" applyBorder="1" applyFill="1" applyFont="1">
      <alignment horizontal="center" shrinkToFit="0" vertical="top" wrapText="1"/>
    </xf>
    <xf borderId="28" fillId="4" fontId="14" numFmtId="0" xfId="0" applyAlignment="1" applyBorder="1" applyFill="1" applyFont="1">
      <alignment horizontal="center" shrinkToFit="0" wrapText="1"/>
    </xf>
    <xf borderId="20" fillId="0" fontId="1" numFmtId="164" xfId="0" applyAlignment="1" applyBorder="1" applyFont="1" applyNumberFormat="1">
      <alignment vertical="top"/>
    </xf>
    <xf borderId="21" fillId="0" fontId="1" numFmtId="49" xfId="0" applyAlignment="1" applyBorder="1" applyFont="1" applyNumberFormat="1">
      <alignment vertical="top"/>
    </xf>
    <xf borderId="1" fillId="2" fontId="12" numFmtId="0" xfId="0" applyAlignment="1" applyBorder="1" applyFill="1" applyFont="1">
      <alignment horizontal="center" shrinkToFit="0" wrapText="1"/>
    </xf>
    <xf borderId="29" fillId="2" fontId="1" numFmtId="0" xfId="0" applyAlignment="1" applyBorder="1" applyFill="1" applyFont="1">
      <alignment horizontal="center"/>
    </xf>
    <xf borderId="22" fillId="0" fontId="1" numFmtId="0" xfId="0" applyAlignment="1" applyBorder="1" applyFont="1">
      <alignment vertical="top"/>
    </xf>
    <xf borderId="30" fillId="0" fontId="1" numFmtId="164" xfId="0" applyAlignment="1" applyBorder="1" applyFont="1" applyNumberFormat="1">
      <alignment vertical="top"/>
    </xf>
    <xf borderId="21" fillId="2" fontId="1" numFmtId="0" xfId="0" applyBorder="1" applyFill="1" applyFont="1"/>
    <xf borderId="31" fillId="0" fontId="1" numFmtId="49" xfId="0" applyAlignment="1" applyBorder="1" applyFont="1" applyNumberFormat="1">
      <alignment vertical="top"/>
    </xf>
    <xf borderId="11" fillId="5" fontId="14" numFmtId="0" xfId="0" applyAlignment="1" applyBorder="1" applyFill="1" applyFont="1">
      <alignment horizontal="center" shrinkToFit="0" vertical="center" wrapText="1"/>
    </xf>
    <xf borderId="31" fillId="0" fontId="1" numFmtId="0" xfId="0" applyAlignment="1" applyBorder="1" applyFont="1">
      <alignment vertical="top"/>
    </xf>
    <xf borderId="32" fillId="0" fontId="1" numFmtId="0" xfId="0" applyAlignment="1" applyBorder="1" applyFont="1">
      <alignment vertical="top"/>
    </xf>
    <xf borderId="21" fillId="2" fontId="1" numFmtId="49" xfId="0" applyAlignment="1" applyBorder="1" applyFill="1" applyFont="1" applyNumberFormat="1">
      <alignment horizontal="left" vertical="center"/>
    </xf>
    <xf borderId="21" fillId="2" fontId="1" numFmtId="0" xfId="0" applyAlignment="1" applyBorder="1" applyFill="1" applyFont="1">
      <alignment horizontal="center"/>
    </xf>
    <xf borderId="1" fillId="2" fontId="8" numFmtId="0" xfId="0" applyAlignment="1" applyBorder="1" applyFill="1" applyFont="1">
      <alignment horizontal="center" shrinkToFit="0" vertical="center" wrapText="1"/>
    </xf>
    <xf borderId="33" fillId="6" fontId="16" numFmtId="0" xfId="0" applyBorder="1" applyFill="1" applyFont="1"/>
    <xf borderId="33" fillId="6" fontId="17" numFmtId="0" xfId="0" applyBorder="1" applyFill="1" applyFont="1"/>
    <xf borderId="34" fillId="6" fontId="17" numFmtId="0" xfId="0" applyBorder="1" applyFill="1" applyFont="1"/>
    <xf borderId="35" fillId="6" fontId="17" numFmtId="0" xfId="0" applyBorder="1" applyFill="1" applyFont="1"/>
    <xf borderId="1" fillId="2" fontId="8" numFmtId="0" xfId="0" applyAlignment="1" applyBorder="1" applyFill="1" applyFont="1">
      <alignment horizontal="left" vertical="center"/>
    </xf>
    <xf borderId="36" fillId="2" fontId="1" numFmtId="0" xfId="0" applyAlignment="1" applyBorder="1" applyFill="1" applyFont="1">
      <alignment horizontal="center"/>
    </xf>
    <xf borderId="11" fillId="2" fontId="18" numFmtId="0" xfId="0" applyAlignment="1" applyBorder="1" applyFill="1" applyFont="1">
      <alignment shrinkToFit="0" vertical="top" wrapText="1"/>
    </xf>
    <xf borderId="11" fillId="2" fontId="17" numFmtId="0" xfId="0" applyAlignment="1" applyBorder="1" applyFill="1" applyFont="1">
      <alignment vertical="top"/>
    </xf>
    <xf borderId="37" fillId="2" fontId="12" numFmtId="0" xfId="0" applyAlignment="1" applyBorder="1" applyFill="1" applyFont="1">
      <alignment vertical="top"/>
    </xf>
    <xf borderId="1" fillId="2" fontId="2" numFmtId="0" xfId="0" applyAlignment="1" applyBorder="1" applyFill="1" applyFont="1">
      <alignment shrinkToFit="0" vertical="top" wrapText="1"/>
    </xf>
    <xf borderId="1" fillId="2" fontId="12" numFmtId="0" xfId="0" applyAlignment="1" applyBorder="1" applyFill="1" applyFont="1">
      <alignment vertical="top"/>
    </xf>
    <xf borderId="37" fillId="2" fontId="1" numFmtId="0" xfId="0" applyBorder="1" applyFill="1" applyFont="1"/>
    <xf borderId="37" fillId="2" fontId="12" numFmtId="0" xfId="0" applyBorder="1" applyFill="1" applyFont="1"/>
    <xf borderId="38" fillId="2" fontId="1" numFmtId="1" xfId="0" applyAlignment="1" applyBorder="1" applyFill="1" applyFont="1" applyNumberFormat="1">
      <alignment vertical="center"/>
    </xf>
    <xf borderId="39" fillId="2" fontId="1" numFmtId="0" xfId="0" applyAlignment="1" applyBorder="1" applyFill="1" applyFont="1">
      <alignment horizontal="left" vertical="center"/>
    </xf>
    <xf borderId="11" fillId="6" fontId="16" numFmtId="0" xfId="0" applyBorder="1" applyFill="1" applyFont="1"/>
    <xf borderId="40" fillId="2" fontId="1" numFmtId="0" xfId="0" applyAlignment="1" applyBorder="1" applyFill="1" applyFont="1">
      <alignment horizontal="left" vertical="center"/>
    </xf>
    <xf borderId="11" fillId="6" fontId="17" numFmtId="0" xfId="0" applyBorder="1" applyFill="1" applyFont="1"/>
    <xf borderId="11" fillId="2" fontId="17" numFmtId="0" xfId="0" applyAlignment="1" applyBorder="1" applyFill="1" applyFont="1">
      <alignment vertical="bottom"/>
    </xf>
    <xf borderId="38" fillId="2" fontId="18" numFmtId="1" xfId="0" applyAlignment="1" applyBorder="1" applyFill="1" applyFont="1" applyNumberFormat="1">
      <alignment horizontal="right" shrinkToFit="0" vertical="top" wrapText="1"/>
    </xf>
    <xf borderId="41" fillId="2" fontId="1" numFmtId="0" xfId="0" applyAlignment="1" applyBorder="1" applyFill="1" applyFont="1">
      <alignment horizontal="center"/>
    </xf>
    <xf borderId="39" fillId="2" fontId="18" numFmtId="0" xfId="0" applyAlignment="1" applyBorder="1" applyFill="1" applyFont="1">
      <alignment shrinkToFit="0" vertical="top" wrapText="1"/>
    </xf>
    <xf borderId="39" fillId="2" fontId="19" numFmtId="0" xfId="0" applyAlignment="1" applyBorder="1" applyFill="1" applyFont="1">
      <alignment shrinkToFit="0" vertical="top" wrapText="1"/>
    </xf>
    <xf borderId="42" fillId="4" fontId="20" numFmtId="0" xfId="0" applyAlignment="1" applyBorder="1" applyFill="1" applyFont="1">
      <alignment horizontal="center"/>
    </xf>
    <xf borderId="40" fillId="2" fontId="18" numFmtId="0" xfId="0" applyAlignment="1" applyBorder="1" applyFill="1" applyFont="1">
      <alignment shrinkToFit="0" vertical="top" wrapText="1"/>
    </xf>
    <xf borderId="31" fillId="4" fontId="14" numFmtId="0" xfId="0" applyBorder="1" applyFill="1" applyFont="1"/>
    <xf borderId="31" fillId="4" fontId="20" numFmtId="0" xfId="0" applyAlignment="1" applyBorder="1" applyFill="1" applyFont="1">
      <alignment horizontal="center"/>
    </xf>
    <xf borderId="43" fillId="4" fontId="20" numFmtId="0" xfId="0" applyAlignment="1" applyBorder="1" applyFill="1" applyFont="1">
      <alignment horizontal="center"/>
    </xf>
    <xf borderId="1" fillId="2" fontId="1" numFmtId="0" xfId="0" applyAlignment="1" applyBorder="1" applyFill="1" applyFont="1">
      <alignment horizontal="center"/>
    </xf>
    <xf borderId="1" fillId="2" fontId="1" numFmtId="10" xfId="0" applyAlignment="1" applyBorder="1" applyFill="1" applyFont="1" applyNumberFormat="1">
      <alignment horizontal="center"/>
    </xf>
    <xf borderId="1" fillId="2" fontId="1" numFmtId="9" xfId="0" applyAlignment="1" applyBorder="1" applyFill="1" applyFont="1" applyNumberFormat="1">
      <alignment horizontal="center"/>
    </xf>
    <xf borderId="30" fillId="2" fontId="1" numFmtId="1" xfId="0" applyAlignment="1" applyBorder="1" applyFill="1" applyFont="1" applyNumberFormat="1">
      <alignment vertical="center"/>
    </xf>
    <xf borderId="31" fillId="2" fontId="1" numFmtId="0" xfId="0" applyAlignment="1" applyBorder="1" applyFill="1" applyFont="1">
      <alignment horizontal="left" vertical="center"/>
    </xf>
    <xf borderId="32" fillId="2" fontId="1" numFmtId="0" xfId="0" applyAlignment="1" applyBorder="1" applyFill="1" applyFont="1">
      <alignment horizontal="left" vertical="center"/>
    </xf>
    <xf borderId="0" fillId="2" fontId="1" numFmtId="1" xfId="0" applyAlignment="1" applyFill="1" applyFont="1" applyNumberFormat="1">
      <alignment vertical="center"/>
    </xf>
    <xf borderId="0" fillId="2" fontId="1" numFmtId="0" xfId="0" applyAlignment="1" applyFill="1" applyFont="1">
      <alignment horizontal="left" vertical="center"/>
    </xf>
    <xf borderId="1" fillId="2" fontId="21" numFmtId="2" xfId="0" applyAlignment="1" applyBorder="1" applyFill="1" applyFont="1" applyNumberFormat="1">
      <alignment horizontal="right" shrinkToFit="0" wrapText="1"/>
    </xf>
    <xf borderId="44" fillId="2" fontId="1" numFmtId="0" xfId="0" applyBorder="1" applyFill="1" applyFont="1"/>
    <xf borderId="3" fillId="2" fontId="1" numFmtId="0" xfId="0" applyAlignment="1" applyBorder="1" applyFill="1" applyFont="1">
      <alignment horizontal="left" readingOrder="0" shrinkToFit="0" vertical="top" wrapText="1"/>
    </xf>
    <xf borderId="33" fillId="6" fontId="7" numFmtId="0" xfId="0" applyAlignment="1" applyBorder="1" applyFill="1" applyFont="1">
      <alignment horizontal="left" vertical="center"/>
    </xf>
    <xf borderId="34" fillId="6" fontId="7" numFmtId="0" xfId="0" applyAlignment="1" applyBorder="1" applyFill="1" applyFont="1">
      <alignment horizontal="left" shrinkToFit="0" vertical="center" wrapText="1"/>
    </xf>
    <xf borderId="34" fillId="6" fontId="7" numFmtId="0" xfId="0" applyAlignment="1" applyBorder="1" applyFill="1" applyFont="1">
      <alignment horizontal="left" vertical="center"/>
    </xf>
    <xf borderId="35" fillId="6" fontId="7" numFmtId="0" xfId="0" applyAlignment="1" applyBorder="1" applyFill="1" applyFont="1">
      <alignment horizontal="left" vertical="center"/>
    </xf>
    <xf borderId="11" fillId="2" fontId="1" numFmtId="0" xfId="0" applyAlignment="1" applyBorder="1" applyFill="1" applyFont="1">
      <alignment shrinkToFit="0" vertical="top" wrapText="1"/>
    </xf>
    <xf borderId="11" fillId="2" fontId="12" numFmtId="0" xfId="0" applyAlignment="1" applyBorder="1" applyFill="1" applyFont="1">
      <alignment readingOrder="0" shrinkToFit="0" vertical="top" wrapText="1"/>
    </xf>
    <xf borderId="11" fillId="0" fontId="18" numFmtId="0" xfId="0" applyAlignment="1" applyBorder="1" applyFont="1">
      <alignment horizontal="left" readingOrder="0" shrinkToFit="0" vertical="top" wrapText="1"/>
    </xf>
    <xf borderId="11" fillId="2" fontId="1" numFmtId="0" xfId="0" applyAlignment="1" applyBorder="1" applyFill="1" applyFont="1">
      <alignment readingOrder="0" shrinkToFit="0" vertical="top" wrapText="1"/>
    </xf>
    <xf borderId="45" fillId="6" fontId="7" numFmtId="0" xfId="0" applyAlignment="1" applyBorder="1" applyFill="1" applyFont="1">
      <alignment horizontal="left" vertical="center"/>
    </xf>
    <xf borderId="46" fillId="6" fontId="7" numFmtId="0" xfId="0" applyAlignment="1" applyBorder="1" applyFill="1" applyFont="1">
      <alignment horizontal="left" shrinkToFit="0" vertical="center" wrapText="1"/>
    </xf>
    <xf borderId="46" fillId="6" fontId="7" numFmtId="0" xfId="0" applyAlignment="1" applyBorder="1" applyFill="1" applyFont="1">
      <alignment horizontal="left" vertical="center"/>
    </xf>
    <xf borderId="14" fillId="6" fontId="7" numFmtId="0" xfId="0" applyAlignment="1" applyBorder="1" applyFill="1" applyFont="1">
      <alignment horizontal="left" vertical="top"/>
    </xf>
    <xf borderId="11" fillId="2" fontId="1" numFmtId="0" xfId="0" applyBorder="1" applyFill="1" applyFont="1"/>
    <xf borderId="11" fillId="2" fontId="1" numFmtId="0" xfId="0" applyAlignment="1" applyBorder="1" applyFill="1" applyFont="1">
      <alignment vertical="top"/>
    </xf>
    <xf borderId="47" fillId="6" fontId="7" numFmtId="0" xfId="0" applyBorder="1" applyFill="1" applyFont="1"/>
    <xf borderId="3" fillId="6" fontId="17" numFmtId="0" xfId="0" applyBorder="1" applyFill="1" applyFont="1"/>
    <xf borderId="7" fillId="6" fontId="17" numFmtId="0" xfId="0" applyAlignment="1" applyBorder="1" applyFill="1" applyFont="1">
      <alignment shrinkToFit="0" wrapText="1"/>
    </xf>
    <xf borderId="7" fillId="6" fontId="17" numFmtId="0" xfId="0" applyBorder="1" applyFill="1" applyFont="1"/>
    <xf borderId="9" fillId="6" fontId="17" numFmtId="0" xfId="0" applyAlignment="1" applyBorder="1" applyFill="1" applyFont="1">
      <alignment vertical="top"/>
    </xf>
    <xf borderId="47" fillId="2" fontId="1" numFmtId="0" xfId="0" applyAlignment="1" applyBorder="1" applyFill="1" applyFont="1">
      <alignment readingOrder="0" shrinkToFit="0" vertical="top" wrapText="1"/>
    </xf>
    <xf borderId="37" fillId="2" fontId="12" numFmtId="0" xfId="0" applyAlignment="1" applyBorder="1" applyFill="1" applyFont="1">
      <alignment horizontal="center" shrinkToFit="0" vertical="center" wrapText="1"/>
    </xf>
    <xf borderId="7" fillId="2" fontId="1" numFmtId="0" xfId="0" applyAlignment="1" applyBorder="1" applyFill="1" applyFont="1">
      <alignment shrinkToFit="0" vertical="top" wrapText="1"/>
    </xf>
    <xf borderId="7" fillId="2" fontId="1" numFmtId="0" xfId="0" applyBorder="1" applyFill="1" applyFont="1"/>
    <xf borderId="9" fillId="2" fontId="1" numFmtId="0" xfId="0" applyAlignment="1" applyBorder="1" applyFill="1" applyFont="1">
      <alignment vertical="top"/>
    </xf>
    <xf borderId="7" fillId="2" fontId="1" numFmtId="0" xfId="0" applyAlignment="1" applyBorder="1" applyFill="1" applyFont="1">
      <alignment vertical="top"/>
    </xf>
    <xf borderId="9" fillId="2" fontId="1" numFmtId="0" xfId="0" applyAlignment="1" applyBorder="1" applyFill="1" applyFont="1">
      <alignment readingOrder="0" shrinkToFit="0" wrapText="1"/>
    </xf>
    <xf borderId="7" fillId="2" fontId="1" numFmtId="0" xfId="0" applyAlignment="1" applyBorder="1" applyFill="1" applyFont="1">
      <alignment readingOrder="0" shrinkToFit="0" vertical="top" wrapText="1"/>
    </xf>
    <xf borderId="9" fillId="2" fontId="1" numFmtId="0" xfId="0" applyAlignment="1" applyBorder="1" applyFill="1" applyFont="1">
      <alignment readingOrder="0" vertical="top"/>
    </xf>
    <xf borderId="2" fillId="2" fontId="1" numFmtId="0" xfId="0" applyAlignment="1" applyBorder="1" applyFill="1" applyFont="1">
      <alignment horizontal="center" shrinkToFit="0" wrapText="1"/>
    </xf>
    <xf borderId="37" fillId="0" fontId="5" numFmtId="0" xfId="0" applyBorder="1" applyFont="1"/>
    <xf borderId="48" fillId="6" fontId="6" numFmtId="0" xfId="0" applyAlignment="1" applyBorder="1" applyFill="1" applyFont="1">
      <alignment horizontal="left" shrinkToFit="0" wrapText="0"/>
    </xf>
    <xf borderId="49" fillId="6" fontId="6" numFmtId="0" xfId="0" applyAlignment="1" applyBorder="1" applyFill="1" applyFont="1">
      <alignment horizontal="left" shrinkToFit="0" wrapText="1"/>
    </xf>
    <xf borderId="50" fillId="6" fontId="6" numFmtId="0" xfId="0" applyAlignment="1" applyBorder="1" applyFill="1" applyFont="1">
      <alignment horizontal="left" shrinkToFit="0" wrapText="0"/>
    </xf>
    <xf borderId="51" fillId="0" fontId="5" numFmtId="0" xfId="0" applyBorder="1" applyFont="1"/>
    <xf borderId="49" fillId="6" fontId="7" numFmtId="0" xfId="0" applyAlignment="1" applyBorder="1" applyFill="1" applyFont="1">
      <alignment horizontal="left" shrinkToFit="0" vertical="center" wrapText="1"/>
    </xf>
    <xf borderId="52" fillId="0" fontId="5" numFmtId="0" xfId="0" applyBorder="1" applyFont="1"/>
    <xf borderId="11" fillId="6" fontId="7" numFmtId="0" xfId="0" applyAlignment="1" applyBorder="1" applyFill="1" applyFont="1">
      <alignment horizontal="left" vertical="center"/>
    </xf>
    <xf borderId="11" fillId="2" fontId="12" numFmtId="0" xfId="0" applyAlignment="1" applyBorder="1" applyFill="1" applyFont="1">
      <alignment horizontal="center" shrinkToFit="0" vertical="top" wrapText="1"/>
    </xf>
    <xf borderId="11" fillId="2" fontId="12" numFmtId="0" xfId="0" applyAlignment="1" applyBorder="1" applyFill="1" applyFont="1">
      <alignment horizontal="left" shrinkToFit="0" vertical="top" wrapText="1"/>
    </xf>
    <xf borderId="47" fillId="6" fontId="22" numFmtId="0" xfId="0" applyBorder="1" applyFill="1" applyFont="1"/>
    <xf borderId="11" fillId="2" fontId="23" numFmtId="0" xfId="0" applyAlignment="1" applyBorder="1" applyFill="1" applyFont="1">
      <alignment horizontal="center" shrinkToFit="0" vertical="top" wrapText="1"/>
    </xf>
    <xf borderId="11" fillId="2" fontId="23" numFmtId="166" xfId="0" applyAlignment="1" applyBorder="1" applyFill="1" applyFont="1" applyNumberFormat="1">
      <alignment horizontal="center" shrinkToFit="0" vertical="top" wrapText="1"/>
    </xf>
    <xf borderId="9" fillId="2" fontId="1" numFmtId="0" xfId="0" applyAlignment="1" applyBorder="1" applyFill="1" applyFont="1">
      <alignment shrinkToFit="0" vertical="top" wrapText="1"/>
    </xf>
    <xf borderId="11" fillId="6" fontId="7" numFmtId="0" xfId="0" applyAlignment="1" applyBorder="1" applyFill="1" applyFont="1">
      <alignment horizontal="left" shrinkToFit="0" vertical="center" wrapText="1"/>
    </xf>
    <xf borderId="9" fillId="6" fontId="7" numFmtId="0" xfId="0" applyAlignment="1" applyBorder="1" applyFill="1" applyFont="1">
      <alignment horizontal="left" vertical="center"/>
    </xf>
    <xf borderId="11" fillId="0" fontId="24" numFmtId="0" xfId="0" applyBorder="1" applyFont="1"/>
    <xf borderId="48" fillId="6" fontId="6" numFmtId="0" xfId="0" applyAlignment="1" applyBorder="1" applyFill="1" applyFont="1">
      <alignment vertical="top"/>
    </xf>
    <xf borderId="53" fillId="6" fontId="6" numFmtId="0" xfId="0" applyAlignment="1" applyBorder="1" applyFill="1" applyFont="1">
      <alignment shrinkToFit="0" vertical="top" wrapText="1"/>
    </xf>
    <xf borderId="53" fillId="2" fontId="1" numFmtId="0" xfId="0" applyAlignment="1" applyBorder="1" applyFill="1" applyFont="1">
      <alignment shrinkToFit="0" wrapText="1"/>
    </xf>
    <xf borderId="11" fillId="2" fontId="1" numFmtId="0" xfId="0" applyAlignment="1" applyBorder="1" applyFill="1" applyFont="1">
      <alignment readingOrder="0" vertical="top"/>
    </xf>
    <xf borderId="11" fillId="2" fontId="1" numFmtId="0" xfId="0" applyAlignment="1" applyBorder="1" applyFill="1" applyFont="1">
      <alignment shrinkToFit="0" wrapText="1"/>
    </xf>
    <xf borderId="11" fillId="0" fontId="7" numFmtId="0" xfId="0" applyAlignment="1" applyBorder="1" applyFont="1">
      <alignment horizontal="left" vertical="center"/>
    </xf>
    <xf borderId="11" fillId="2" fontId="8" numFmtId="0" xfId="0" applyAlignment="1" applyBorder="1" applyFill="1" applyFont="1">
      <alignment horizontal="center" shrinkToFit="0" vertical="top" wrapText="1"/>
    </xf>
    <xf borderId="11" fillId="2" fontId="1" numFmtId="0" xfId="0" applyAlignment="1" applyBorder="1" applyFill="1" applyFont="1">
      <alignment horizontal="left" vertical="top"/>
    </xf>
    <xf borderId="48" fillId="6" fontId="6" numFmtId="0" xfId="0" applyAlignment="1" applyBorder="1" applyFill="1" applyFont="1">
      <alignment shrinkToFit="0" vertical="bottom" wrapText="0"/>
    </xf>
    <xf borderId="11" fillId="6" fontId="6" numFmtId="0" xfId="0" applyAlignment="1" applyBorder="1" applyFill="1" applyFont="1">
      <alignment shrinkToFit="0" vertical="bottom" wrapText="1"/>
    </xf>
  </cellXfs>
  <cellStyles count="1">
    <cellStyle xfId="0" name="Normal" builtinId="0"/>
  </cellStyles>
  <dxfs count="3">
    <dxf>
      <font>
        <b/>
        <color rgb="FF008000"/>
      </font>
      <fill>
        <patternFill patternType="none"/>
      </fill>
      <border/>
    </dxf>
    <dxf>
      <font>
        <b/>
        <color rgb="FFFF0000"/>
      </font>
      <fill>
        <patternFill patternType="none"/>
      </fill>
      <border/>
    </dxf>
    <dxf>
      <font>
        <b/>
        <color rgb="FF000000"/>
      </font>
      <fill>
        <patternFill patternType="none"/>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customschemas.google.com/relationships/workbookmetadata" Target="metadata"/><Relationship Id="rId10" Type="http://schemas.openxmlformats.org/officeDocument/2006/relationships/worksheet" Target="worksheets/sheet7.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0</xdr:colOff>
      <xdr:row>1</xdr:row>
      <xdr:rowOff>0</xdr:rowOff>
    </xdr:from>
    <xdr:ext cx="2143125" cy="78105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MS PGothic"/>
        <a:ea typeface="MS PGothic"/>
        <a:cs typeface="MS PGothic"/>
      </a:majorFont>
      <a:minorFont>
        <a:latin typeface="MS PGothic"/>
        <a:ea typeface="MS PGothic"/>
        <a:cs typeface="MS PGothic"/>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sheetPr>
    <pageSetUpPr/>
  </sheetPr>
  <sheetViews>
    <sheetView showGridLines="0" workbookViewId="0"/>
  </sheetViews>
  <sheetFormatPr customHeight="1" defaultColWidth="12.63" defaultRowHeight="15.0"/>
  <cols>
    <col customWidth="1" min="1" max="1" width="28.13"/>
    <col customWidth="1" min="2" max="2" width="10.0"/>
    <col customWidth="1" min="3" max="3" width="17.88"/>
    <col customWidth="1" min="4" max="4" width="8.0"/>
    <col customWidth="1" min="5" max="5" width="63.38"/>
    <col customWidth="1" min="6" max="6" width="48.13"/>
    <col customWidth="1" min="7" max="26" width="9.0"/>
  </cols>
  <sheetData>
    <row r="1" ht="12.75" customHeight="1">
      <c r="A1" s="1"/>
      <c r="B1" s="2"/>
      <c r="C1" s="2"/>
      <c r="D1" s="2"/>
      <c r="E1" s="2"/>
      <c r="F1" s="2"/>
      <c r="G1" s="2"/>
      <c r="H1" s="2"/>
      <c r="I1" s="2"/>
      <c r="J1" s="2"/>
      <c r="K1" s="2"/>
      <c r="L1" s="2"/>
      <c r="M1" s="2"/>
      <c r="N1" s="2"/>
      <c r="O1" s="2"/>
      <c r="P1" s="2"/>
      <c r="Q1" s="2"/>
      <c r="R1" s="2"/>
      <c r="S1" s="2"/>
      <c r="T1" s="2"/>
      <c r="U1" s="2"/>
      <c r="V1" s="2"/>
      <c r="W1" s="2"/>
      <c r="X1" s="2"/>
      <c r="Y1" s="2"/>
      <c r="Z1" s="2"/>
    </row>
    <row r="2" ht="75.75" customHeight="1">
      <c r="A2" s="8"/>
      <c r="B2" s="13" t="s">
        <v>3</v>
      </c>
      <c r="C2" s="15"/>
      <c r="D2" s="15"/>
      <c r="E2" s="15"/>
      <c r="F2" s="18"/>
      <c r="G2" s="20"/>
      <c r="H2" s="20"/>
      <c r="I2" s="20"/>
      <c r="J2" s="20"/>
      <c r="K2" s="20"/>
      <c r="L2" s="20"/>
      <c r="M2" s="20"/>
      <c r="N2" s="20"/>
      <c r="O2" s="20"/>
      <c r="P2" s="20"/>
      <c r="Q2" s="20"/>
      <c r="R2" s="20"/>
      <c r="S2" s="20"/>
      <c r="T2" s="20"/>
      <c r="U2" s="20"/>
      <c r="V2" s="20"/>
      <c r="W2" s="20"/>
      <c r="X2" s="20"/>
      <c r="Y2" s="20"/>
      <c r="Z2" s="20"/>
    </row>
    <row r="3" ht="12.75" customHeight="1">
      <c r="A3" s="23"/>
      <c r="B3" s="27"/>
      <c r="C3" s="2"/>
      <c r="D3" s="2"/>
      <c r="E3" s="3"/>
      <c r="F3" s="2"/>
      <c r="G3" s="2"/>
      <c r="H3" s="2"/>
      <c r="I3" s="2"/>
      <c r="J3" s="2"/>
      <c r="K3" s="2"/>
      <c r="L3" s="2"/>
      <c r="M3" s="2"/>
      <c r="N3" s="2"/>
      <c r="O3" s="2"/>
      <c r="P3" s="2"/>
      <c r="Q3" s="2"/>
      <c r="R3" s="2"/>
      <c r="S3" s="2"/>
      <c r="T3" s="2"/>
      <c r="U3" s="2"/>
      <c r="V3" s="2"/>
      <c r="W3" s="2"/>
      <c r="X3" s="2"/>
      <c r="Y3" s="2"/>
      <c r="Z3" s="2"/>
    </row>
    <row r="4" ht="14.25" customHeight="1">
      <c r="A4" s="30" t="s">
        <v>5</v>
      </c>
      <c r="B4" s="33" t="s">
        <v>7</v>
      </c>
      <c r="C4" s="15"/>
      <c r="D4" s="18"/>
      <c r="E4" s="30" t="s">
        <v>8</v>
      </c>
      <c r="F4" s="35"/>
      <c r="G4" s="2"/>
      <c r="H4" s="2"/>
      <c r="I4" s="2"/>
      <c r="J4" s="2"/>
      <c r="K4" s="2"/>
      <c r="L4" s="2"/>
      <c r="M4" s="2"/>
      <c r="N4" s="2"/>
      <c r="O4" s="2"/>
      <c r="P4" s="2"/>
      <c r="Q4" s="2"/>
      <c r="R4" s="2"/>
      <c r="S4" s="2"/>
      <c r="T4" s="2"/>
      <c r="U4" s="2"/>
      <c r="V4" s="2"/>
      <c r="W4" s="2"/>
      <c r="X4" s="2"/>
      <c r="Y4" s="2"/>
      <c r="Z4" s="2"/>
    </row>
    <row r="5" ht="14.25" customHeight="1">
      <c r="A5" s="30" t="s">
        <v>11</v>
      </c>
      <c r="B5" s="33" t="s">
        <v>12</v>
      </c>
      <c r="C5" s="15"/>
      <c r="D5" s="18"/>
      <c r="E5" s="30" t="s">
        <v>13</v>
      </c>
      <c r="F5" s="39">
        <v>46299.0</v>
      </c>
      <c r="G5" s="2"/>
      <c r="H5" s="2"/>
      <c r="I5" s="2"/>
      <c r="J5" s="2"/>
      <c r="K5" s="2"/>
      <c r="L5" s="2"/>
      <c r="M5" s="2"/>
      <c r="N5" s="2"/>
      <c r="O5" s="2"/>
      <c r="P5" s="2"/>
      <c r="Q5" s="2"/>
      <c r="R5" s="2"/>
      <c r="S5" s="2"/>
      <c r="T5" s="2"/>
      <c r="U5" s="2"/>
      <c r="V5" s="2"/>
      <c r="W5" s="2"/>
      <c r="X5" s="2"/>
      <c r="Y5" s="2"/>
      <c r="Z5" s="2"/>
    </row>
    <row r="6" ht="15.75" customHeight="1">
      <c r="A6" s="42" t="s">
        <v>17</v>
      </c>
      <c r="B6" s="49" t="str">
        <f>B5&amp;"_"&amp;"Test Report"&amp;"_"&amp;"v1.0"</f>
        <v>SE2051-NET_SWP391_G5_Test Report_v1.0</v>
      </c>
      <c r="C6" s="15"/>
      <c r="D6" s="18"/>
      <c r="E6" s="30" t="s">
        <v>23</v>
      </c>
      <c r="F6" s="51" t="s">
        <v>24</v>
      </c>
      <c r="G6" s="2"/>
      <c r="H6" s="2"/>
      <c r="I6" s="2"/>
      <c r="J6" s="2"/>
      <c r="K6" s="2"/>
      <c r="L6" s="2"/>
      <c r="M6" s="2"/>
      <c r="N6" s="2"/>
      <c r="O6" s="2"/>
      <c r="P6" s="2"/>
      <c r="Q6" s="2"/>
      <c r="R6" s="2"/>
      <c r="S6" s="2"/>
      <c r="T6" s="2"/>
      <c r="U6" s="2"/>
      <c r="V6" s="2"/>
      <c r="W6" s="2"/>
      <c r="X6" s="2"/>
      <c r="Y6" s="2"/>
      <c r="Z6" s="2"/>
    </row>
    <row r="7" ht="12.75" customHeight="1">
      <c r="A7" s="55"/>
      <c r="B7" s="27"/>
      <c r="C7" s="2"/>
      <c r="D7" s="2"/>
      <c r="E7" s="59"/>
      <c r="F7" s="27"/>
      <c r="G7" s="2"/>
      <c r="H7" s="2"/>
      <c r="I7" s="2"/>
      <c r="J7" s="2"/>
      <c r="K7" s="2"/>
      <c r="L7" s="2"/>
      <c r="M7" s="2"/>
      <c r="N7" s="2"/>
      <c r="O7" s="2"/>
      <c r="P7" s="2"/>
      <c r="Q7" s="2"/>
      <c r="R7" s="2"/>
      <c r="S7" s="2"/>
      <c r="T7" s="2"/>
      <c r="U7" s="2"/>
      <c r="V7" s="2"/>
      <c r="W7" s="2"/>
      <c r="X7" s="2"/>
      <c r="Y7" s="2"/>
      <c r="Z7" s="2"/>
    </row>
    <row r="8" ht="12.75" customHeight="1">
      <c r="A8" s="2"/>
      <c r="B8" s="2"/>
      <c r="C8" s="2"/>
      <c r="D8" s="2"/>
      <c r="E8" s="2"/>
      <c r="F8" s="2"/>
      <c r="G8" s="2"/>
      <c r="H8" s="2"/>
      <c r="I8" s="2"/>
      <c r="J8" s="2"/>
      <c r="K8" s="2"/>
      <c r="L8" s="2"/>
      <c r="M8" s="2"/>
      <c r="N8" s="2"/>
      <c r="O8" s="2"/>
      <c r="P8" s="2"/>
      <c r="Q8" s="2"/>
      <c r="R8" s="2"/>
      <c r="S8" s="2"/>
      <c r="T8" s="2"/>
      <c r="U8" s="2"/>
      <c r="V8" s="2"/>
      <c r="W8" s="2"/>
      <c r="X8" s="2"/>
      <c r="Y8" s="2"/>
      <c r="Z8" s="2"/>
    </row>
    <row r="9" ht="12.75" customHeight="1">
      <c r="A9" s="63" t="s">
        <v>27</v>
      </c>
      <c r="B9" s="2"/>
      <c r="C9" s="2"/>
      <c r="D9" s="2"/>
      <c r="E9" s="2"/>
      <c r="F9" s="2"/>
      <c r="G9" s="2"/>
      <c r="H9" s="2"/>
      <c r="I9" s="2"/>
      <c r="J9" s="2"/>
      <c r="K9" s="2"/>
      <c r="L9" s="2"/>
      <c r="M9" s="2"/>
      <c r="N9" s="2"/>
      <c r="O9" s="2"/>
      <c r="P9" s="2"/>
      <c r="Q9" s="2"/>
      <c r="R9" s="2"/>
      <c r="S9" s="2"/>
      <c r="T9" s="2"/>
      <c r="U9" s="2"/>
      <c r="V9" s="2"/>
      <c r="W9" s="2"/>
      <c r="X9" s="2"/>
      <c r="Y9" s="2"/>
      <c r="Z9" s="2"/>
    </row>
    <row r="10" ht="12.75" customHeight="1">
      <c r="A10" s="67" t="s">
        <v>32</v>
      </c>
      <c r="B10" s="69" t="s">
        <v>23</v>
      </c>
      <c r="C10" s="69" t="s">
        <v>33</v>
      </c>
      <c r="D10" s="69" t="s">
        <v>34</v>
      </c>
      <c r="E10" s="69" t="s">
        <v>35</v>
      </c>
      <c r="F10" s="71" t="s">
        <v>36</v>
      </c>
      <c r="G10" s="73"/>
      <c r="H10" s="73"/>
      <c r="I10" s="73"/>
      <c r="J10" s="73"/>
      <c r="K10" s="73"/>
      <c r="L10" s="73"/>
      <c r="M10" s="73"/>
      <c r="N10" s="73"/>
      <c r="O10" s="73"/>
      <c r="P10" s="73"/>
      <c r="Q10" s="73"/>
      <c r="R10" s="73"/>
      <c r="S10" s="73"/>
      <c r="T10" s="73"/>
      <c r="U10" s="73"/>
      <c r="V10" s="73"/>
      <c r="W10" s="73"/>
      <c r="X10" s="73"/>
      <c r="Y10" s="73"/>
      <c r="Z10" s="73"/>
    </row>
    <row r="11" ht="80.25" customHeight="1">
      <c r="A11" s="77">
        <v>46299.0</v>
      </c>
      <c r="B11" s="78" t="s">
        <v>39</v>
      </c>
      <c r="C11" s="79" t="s">
        <v>41</v>
      </c>
      <c r="D11" s="79" t="s">
        <v>42</v>
      </c>
      <c r="E11" s="80" t="s">
        <v>43</v>
      </c>
      <c r="F11" s="83" t="s">
        <v>44</v>
      </c>
      <c r="G11" s="84"/>
      <c r="H11" s="84"/>
      <c r="I11" s="84"/>
      <c r="J11" s="84"/>
      <c r="K11" s="84"/>
      <c r="L11" s="84"/>
      <c r="M11" s="84"/>
      <c r="N11" s="84"/>
      <c r="O11" s="84"/>
      <c r="P11" s="84"/>
      <c r="Q11" s="84"/>
      <c r="R11" s="84"/>
      <c r="S11" s="84"/>
      <c r="T11" s="84"/>
      <c r="U11" s="84"/>
      <c r="V11" s="84"/>
      <c r="W11" s="84"/>
      <c r="X11" s="84"/>
      <c r="Y11" s="84"/>
      <c r="Z11" s="84"/>
    </row>
    <row r="12" ht="50.25" customHeight="1">
      <c r="A12" s="86" t="s">
        <v>45</v>
      </c>
      <c r="B12" s="88" t="s">
        <v>46</v>
      </c>
      <c r="C12" s="79" t="s">
        <v>48</v>
      </c>
      <c r="D12" s="90" t="s">
        <v>49</v>
      </c>
      <c r="E12" s="90" t="s">
        <v>51</v>
      </c>
      <c r="F12" s="83" t="s">
        <v>44</v>
      </c>
      <c r="G12" s="84"/>
      <c r="H12" s="84"/>
      <c r="I12" s="84"/>
      <c r="J12" s="84"/>
      <c r="K12" s="84"/>
      <c r="L12" s="84"/>
      <c r="M12" s="84"/>
      <c r="N12" s="84"/>
      <c r="O12" s="84"/>
      <c r="P12" s="84"/>
      <c r="Q12" s="84"/>
      <c r="R12" s="84"/>
      <c r="S12" s="84"/>
      <c r="T12" s="84"/>
      <c r="U12" s="84"/>
      <c r="V12" s="84"/>
      <c r="W12" s="84"/>
      <c r="X12" s="84"/>
      <c r="Y12" s="84"/>
      <c r="Z12" s="84"/>
    </row>
    <row r="13" ht="72.75" customHeight="1">
      <c r="A13" s="77">
        <v>46299.0</v>
      </c>
      <c r="B13" s="78" t="s">
        <v>39</v>
      </c>
      <c r="C13" s="79" t="s">
        <v>4</v>
      </c>
      <c r="D13" s="79" t="s">
        <v>42</v>
      </c>
      <c r="E13" s="80" t="s">
        <v>52</v>
      </c>
      <c r="F13" s="83" t="s">
        <v>44</v>
      </c>
      <c r="G13" s="84"/>
      <c r="H13" s="84"/>
      <c r="I13" s="84"/>
      <c r="J13" s="84"/>
      <c r="K13" s="84"/>
      <c r="L13" s="84"/>
      <c r="M13" s="84"/>
      <c r="N13" s="84"/>
      <c r="O13" s="84"/>
      <c r="P13" s="84"/>
      <c r="Q13" s="84"/>
      <c r="R13" s="84"/>
      <c r="S13" s="84"/>
      <c r="T13" s="84"/>
      <c r="U13" s="84"/>
      <c r="V13" s="84"/>
      <c r="W13" s="84"/>
      <c r="X13" s="84"/>
      <c r="Y13" s="84"/>
      <c r="Z13" s="84"/>
    </row>
    <row r="14" ht="87.0" customHeight="1">
      <c r="A14" s="77">
        <v>46299.0</v>
      </c>
      <c r="B14" s="95" t="s">
        <v>39</v>
      </c>
      <c r="C14" s="80" t="s">
        <v>55</v>
      </c>
      <c r="D14" s="80" t="s">
        <v>42</v>
      </c>
      <c r="E14" s="80" t="s">
        <v>56</v>
      </c>
      <c r="F14" s="83" t="s">
        <v>44</v>
      </c>
      <c r="G14" s="84"/>
      <c r="H14" s="84"/>
      <c r="I14" s="84"/>
      <c r="J14" s="84"/>
      <c r="K14" s="84"/>
      <c r="L14" s="84"/>
      <c r="M14" s="84"/>
      <c r="N14" s="84"/>
      <c r="O14" s="84"/>
      <c r="P14" s="84"/>
      <c r="Q14" s="84"/>
      <c r="R14" s="84"/>
      <c r="S14" s="84"/>
      <c r="T14" s="84"/>
      <c r="U14" s="84"/>
      <c r="V14" s="84"/>
      <c r="W14" s="84"/>
      <c r="X14" s="84"/>
      <c r="Y14" s="84"/>
      <c r="Z14" s="84"/>
    </row>
    <row r="15">
      <c r="A15" s="77" t="s">
        <v>944</v>
      </c>
      <c r="B15" s="95" t="s">
        <v>945</v>
      </c>
      <c r="C15" s="80" t="s">
        <v>55</v>
      </c>
      <c r="D15" s="80" t="s">
        <v>946</v>
      </c>
      <c r="E15" s="80" t="s">
        <v>943</v>
      </c>
      <c r="F15" s="83" t="s">
        <v>44</v>
      </c>
    </row>
    <row r="16" ht="19.5" customHeight="1">
      <c r="A16" s="105"/>
      <c r="B16" s="107"/>
      <c r="C16" s="109"/>
      <c r="D16" s="109"/>
      <c r="E16" s="109"/>
      <c r="F16" s="110"/>
      <c r="G16" s="84"/>
      <c r="H16" s="84"/>
      <c r="I16" s="84"/>
      <c r="J16" s="84"/>
      <c r="K16" s="84"/>
      <c r="L16" s="84"/>
      <c r="M16" s="84"/>
      <c r="N16" s="84"/>
      <c r="O16" s="84"/>
      <c r="P16" s="84"/>
      <c r="Q16" s="84"/>
      <c r="R16" s="84"/>
      <c r="S16" s="84"/>
      <c r="T16" s="84"/>
      <c r="U16" s="84"/>
      <c r="V16" s="84"/>
      <c r="W16" s="84"/>
      <c r="X16" s="84"/>
      <c r="Y16" s="84"/>
      <c r="Z16" s="84"/>
    </row>
    <row r="17" ht="12.75" customHeight="1">
      <c r="A17" s="1"/>
      <c r="B17" s="2"/>
      <c r="C17" s="2"/>
      <c r="D17" s="2"/>
      <c r="E17" s="2"/>
      <c r="F17" s="2"/>
      <c r="G17" s="2"/>
      <c r="H17" s="2"/>
      <c r="I17" s="2"/>
      <c r="J17" s="2"/>
      <c r="K17" s="2"/>
      <c r="L17" s="2"/>
      <c r="M17" s="2"/>
      <c r="N17" s="2"/>
      <c r="O17" s="2"/>
      <c r="P17" s="2"/>
      <c r="Q17" s="2"/>
      <c r="R17" s="2"/>
      <c r="S17" s="2"/>
      <c r="T17" s="2"/>
      <c r="U17" s="2"/>
      <c r="V17" s="2"/>
      <c r="W17" s="2"/>
      <c r="X17" s="2"/>
      <c r="Y17" s="2"/>
      <c r="Z17" s="2"/>
    </row>
    <row r="18" ht="12.75" customHeight="1">
      <c r="A18" s="1"/>
      <c r="B18" s="2"/>
      <c r="C18" s="2"/>
      <c r="D18" s="2"/>
      <c r="E18" s="2"/>
      <c r="F18" s="2"/>
      <c r="G18" s="2"/>
      <c r="H18" s="2"/>
      <c r="I18" s="2"/>
      <c r="J18" s="2"/>
      <c r="K18" s="2"/>
      <c r="L18" s="2"/>
      <c r="M18" s="2"/>
      <c r="N18" s="2"/>
      <c r="O18" s="2"/>
      <c r="P18" s="2"/>
      <c r="Q18" s="2"/>
      <c r="R18" s="2"/>
      <c r="S18" s="2"/>
      <c r="T18" s="2"/>
      <c r="U18" s="2"/>
      <c r="V18" s="2"/>
      <c r="W18" s="2"/>
      <c r="X18" s="2"/>
      <c r="Y18" s="2"/>
      <c r="Z18" s="2"/>
    </row>
    <row r="19" ht="12.75" customHeight="1">
      <c r="A19" s="1"/>
      <c r="B19" s="2"/>
      <c r="C19" s="2"/>
      <c r="D19" s="2"/>
      <c r="E19" s="2"/>
      <c r="F19" s="2"/>
      <c r="G19" s="2"/>
      <c r="H19" s="2"/>
      <c r="I19" s="2"/>
      <c r="J19" s="2"/>
      <c r="K19" s="2"/>
      <c r="L19" s="2"/>
      <c r="M19" s="2"/>
      <c r="N19" s="2"/>
      <c r="O19" s="2"/>
      <c r="P19" s="2"/>
      <c r="Q19" s="2"/>
      <c r="R19" s="2"/>
      <c r="S19" s="2"/>
      <c r="T19" s="2"/>
      <c r="U19" s="2"/>
      <c r="V19" s="2"/>
      <c r="W19" s="2"/>
      <c r="X19" s="2"/>
      <c r="Y19" s="2"/>
      <c r="Z19" s="2"/>
    </row>
    <row r="20" ht="12.75" customHeight="1">
      <c r="A20" s="1"/>
      <c r="B20" s="2"/>
      <c r="C20" s="2"/>
      <c r="D20" s="2"/>
      <c r="E20" s="2"/>
      <c r="F20" s="2"/>
      <c r="G20" s="2"/>
      <c r="H20" s="2"/>
      <c r="I20" s="2"/>
      <c r="J20" s="2"/>
      <c r="K20" s="2"/>
      <c r="L20" s="2"/>
      <c r="M20" s="2"/>
      <c r="N20" s="2"/>
      <c r="O20" s="2"/>
      <c r="P20" s="2"/>
      <c r="Q20" s="2"/>
      <c r="R20" s="2"/>
      <c r="S20" s="2"/>
      <c r="T20" s="2"/>
      <c r="U20" s="2"/>
      <c r="V20" s="2"/>
      <c r="W20" s="2"/>
      <c r="X20" s="2"/>
      <c r="Y20" s="2"/>
      <c r="Z20" s="2"/>
    </row>
    <row r="21" ht="12.75" customHeight="1">
      <c r="A21" s="1"/>
      <c r="B21" s="2"/>
      <c r="C21" s="2"/>
      <c r="D21" s="2"/>
      <c r="E21" s="2"/>
      <c r="F21" s="2"/>
      <c r="G21" s="2"/>
      <c r="H21" s="2"/>
      <c r="I21" s="2"/>
      <c r="J21" s="2"/>
      <c r="K21" s="2"/>
      <c r="L21" s="2"/>
      <c r="M21" s="2"/>
      <c r="N21" s="2"/>
      <c r="O21" s="2"/>
      <c r="P21" s="2"/>
      <c r="Q21" s="2"/>
      <c r="R21" s="2"/>
      <c r="S21" s="2"/>
      <c r="T21" s="2"/>
      <c r="U21" s="2"/>
      <c r="V21" s="2"/>
      <c r="W21" s="2"/>
      <c r="X21" s="2"/>
      <c r="Y21" s="2"/>
      <c r="Z21" s="2"/>
    </row>
    <row r="22" ht="12.75" customHeight="1">
      <c r="A22" s="1"/>
      <c r="B22" s="2"/>
      <c r="C22" s="2"/>
      <c r="D22" s="2"/>
      <c r="E22" s="2"/>
      <c r="F22" s="2"/>
      <c r="G22" s="2"/>
      <c r="H22" s="2"/>
      <c r="I22" s="2"/>
      <c r="J22" s="2"/>
      <c r="K22" s="2"/>
      <c r="L22" s="2"/>
      <c r="M22" s="2"/>
      <c r="N22" s="2"/>
      <c r="O22" s="2"/>
      <c r="P22" s="2"/>
      <c r="Q22" s="2"/>
      <c r="R22" s="2"/>
      <c r="S22" s="2"/>
      <c r="T22" s="2"/>
      <c r="U22" s="2"/>
      <c r="V22" s="2"/>
      <c r="W22" s="2"/>
      <c r="X22" s="2"/>
      <c r="Y22" s="2"/>
      <c r="Z22" s="2"/>
    </row>
    <row r="23" ht="12.75" customHeight="1">
      <c r="A23" s="1"/>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1"/>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1"/>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1"/>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1"/>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1"/>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1"/>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1"/>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1"/>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1"/>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1"/>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1"/>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1"/>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1"/>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1"/>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1"/>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1"/>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1"/>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1"/>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1"/>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1"/>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1"/>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1"/>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1"/>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1"/>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1"/>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1"/>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1"/>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1"/>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1"/>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1"/>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1"/>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1"/>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1"/>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1"/>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1"/>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1"/>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1"/>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1"/>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1"/>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1"/>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1"/>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1"/>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1"/>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1"/>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1"/>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1"/>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1"/>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1"/>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1"/>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1"/>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1"/>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1"/>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1"/>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1"/>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1"/>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1"/>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1"/>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1"/>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1"/>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1"/>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1"/>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1"/>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1"/>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1"/>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1"/>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1"/>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1"/>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1"/>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1"/>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1"/>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1"/>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1"/>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1"/>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1"/>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1"/>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1"/>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1"/>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1"/>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1"/>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1"/>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1"/>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1"/>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1"/>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1"/>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1"/>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1"/>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1"/>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1"/>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1"/>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1"/>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1"/>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1"/>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1"/>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1"/>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1"/>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1"/>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1"/>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1"/>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1"/>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1"/>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1"/>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1"/>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1"/>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1"/>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1"/>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1"/>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1"/>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1"/>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1"/>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1"/>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1"/>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1"/>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1"/>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1"/>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1"/>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1"/>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1"/>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1"/>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1"/>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1"/>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1"/>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1"/>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1"/>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1"/>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1"/>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1"/>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1"/>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1"/>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1"/>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1"/>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1"/>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1"/>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1"/>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1"/>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1"/>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1"/>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1"/>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1"/>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1"/>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1"/>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1"/>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1"/>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1"/>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1"/>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1"/>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1"/>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1"/>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1"/>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1"/>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1"/>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1"/>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1"/>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1"/>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1"/>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1"/>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1"/>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1"/>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1"/>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1"/>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1"/>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1"/>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1"/>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1"/>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1"/>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1"/>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1"/>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1"/>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1"/>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1"/>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1"/>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1"/>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1"/>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1"/>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1"/>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1"/>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1"/>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1"/>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1"/>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1"/>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1"/>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1"/>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1"/>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1"/>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1"/>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1"/>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1"/>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1"/>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1"/>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1"/>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1"/>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1"/>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1"/>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1"/>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1"/>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1"/>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1"/>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4">
    <mergeCell ref="B2:F2"/>
    <mergeCell ref="B4:D4"/>
    <mergeCell ref="B5:D5"/>
    <mergeCell ref="B6:D6"/>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sheetPr>
    <pageSetUpPr/>
  </sheetPr>
  <sheetViews>
    <sheetView workbookViewId="0"/>
  </sheetViews>
  <sheetFormatPr customHeight="1" defaultColWidth="12.63" defaultRowHeight="15.0"/>
  <cols>
    <col customWidth="1" min="1" max="1" width="1.38"/>
    <col customWidth="1" min="2" max="2" width="11.75"/>
    <col customWidth="1" min="3" max="3" width="28.75"/>
    <col customWidth="1" min="4" max="4" width="21.88"/>
    <col customWidth="1" min="5" max="5" width="28.13"/>
    <col customWidth="1" min="6" max="6" width="30.63"/>
    <col customWidth="1" min="7" max="26" width="9.0"/>
  </cols>
  <sheetData>
    <row r="1" ht="12.75" customHeight="1">
      <c r="A1" s="3"/>
      <c r="B1" s="4"/>
      <c r="C1" s="6"/>
      <c r="D1" s="10" t="s">
        <v>1</v>
      </c>
      <c r="E1" s="11"/>
      <c r="F1" s="6"/>
      <c r="G1" s="3"/>
      <c r="H1" s="3"/>
      <c r="I1" s="3"/>
      <c r="J1" s="3"/>
      <c r="K1" s="3"/>
      <c r="L1" s="3"/>
      <c r="M1" s="3"/>
      <c r="N1" s="3"/>
      <c r="O1" s="3"/>
      <c r="P1" s="3"/>
      <c r="Q1" s="3"/>
      <c r="R1" s="3"/>
      <c r="S1" s="3"/>
      <c r="T1" s="3"/>
      <c r="U1" s="3"/>
      <c r="V1" s="3"/>
      <c r="W1" s="3"/>
      <c r="X1" s="3"/>
      <c r="Y1" s="3"/>
      <c r="Z1" s="3"/>
    </row>
    <row r="2" ht="13.5" customHeight="1">
      <c r="A2" s="3"/>
      <c r="B2" s="4"/>
      <c r="C2" s="6"/>
      <c r="D2" s="19"/>
      <c r="E2" s="19"/>
      <c r="F2" s="6"/>
      <c r="G2" s="3"/>
      <c r="H2" s="3"/>
      <c r="I2" s="3"/>
      <c r="J2" s="3"/>
      <c r="K2" s="3"/>
      <c r="L2" s="3"/>
      <c r="M2" s="3"/>
      <c r="N2" s="3"/>
      <c r="O2" s="3"/>
      <c r="P2" s="3"/>
      <c r="Q2" s="3"/>
      <c r="R2" s="3"/>
      <c r="S2" s="3"/>
      <c r="T2" s="3"/>
      <c r="U2" s="3"/>
      <c r="V2" s="3"/>
      <c r="W2" s="3"/>
      <c r="X2" s="3"/>
      <c r="Y2" s="3"/>
      <c r="Z2" s="3"/>
    </row>
    <row r="3" ht="12.75" customHeight="1">
      <c r="A3" s="3"/>
      <c r="B3" s="25" t="s">
        <v>5</v>
      </c>
      <c r="C3" s="15"/>
      <c r="D3" s="34" t="str">
        <f>Cover!B4</f>
        <v>Courson - LMS</v>
      </c>
      <c r="E3" s="15"/>
      <c r="F3" s="18"/>
      <c r="G3" s="3"/>
      <c r="H3" s="3"/>
      <c r="I3" s="3"/>
      <c r="J3" s="3"/>
      <c r="K3" s="3"/>
      <c r="L3" s="3"/>
      <c r="M3" s="3"/>
      <c r="N3" s="3"/>
      <c r="O3" s="3"/>
      <c r="P3" s="3"/>
      <c r="Q3" s="3"/>
      <c r="R3" s="3"/>
      <c r="S3" s="3"/>
      <c r="T3" s="3"/>
      <c r="U3" s="3"/>
      <c r="V3" s="3"/>
      <c r="W3" s="3"/>
      <c r="X3" s="3"/>
      <c r="Y3" s="3"/>
      <c r="Z3" s="3"/>
    </row>
    <row r="4" ht="12.75" customHeight="1">
      <c r="A4" s="3"/>
      <c r="B4" s="25" t="s">
        <v>11</v>
      </c>
      <c r="C4" s="15"/>
      <c r="D4" s="34" t="str">
        <f>Cover!B5</f>
        <v>SE2051-NET_SWP391_G5</v>
      </c>
      <c r="E4" s="15"/>
      <c r="F4" s="18"/>
      <c r="G4" s="3"/>
      <c r="H4" s="3"/>
      <c r="I4" s="3"/>
      <c r="J4" s="3"/>
      <c r="K4" s="3"/>
      <c r="L4" s="3"/>
      <c r="M4" s="3"/>
      <c r="N4" s="3"/>
      <c r="O4" s="3"/>
      <c r="P4" s="3"/>
      <c r="Q4" s="3"/>
      <c r="R4" s="3"/>
      <c r="S4" s="3"/>
      <c r="T4" s="3"/>
      <c r="U4" s="3"/>
      <c r="V4" s="3"/>
      <c r="W4" s="3"/>
      <c r="X4" s="3"/>
      <c r="Y4" s="3"/>
      <c r="Z4" s="3"/>
    </row>
    <row r="5" ht="131.25" customHeight="1">
      <c r="A5" s="26"/>
      <c r="B5" s="43" t="s">
        <v>16</v>
      </c>
      <c r="C5" s="18"/>
      <c r="D5" s="45" t="s">
        <v>18</v>
      </c>
      <c r="E5" s="15"/>
      <c r="F5" s="18"/>
      <c r="G5" s="26"/>
      <c r="H5" s="26"/>
      <c r="I5" s="26"/>
      <c r="J5" s="26"/>
      <c r="K5" s="26"/>
      <c r="L5" s="26"/>
      <c r="M5" s="26"/>
      <c r="N5" s="26"/>
      <c r="O5" s="26"/>
      <c r="P5" s="26"/>
      <c r="Q5" s="26"/>
      <c r="R5" s="26"/>
      <c r="S5" s="26"/>
      <c r="T5" s="26"/>
      <c r="U5" s="26"/>
      <c r="V5" s="26"/>
      <c r="W5" s="26"/>
      <c r="X5" s="26"/>
      <c r="Y5" s="26"/>
      <c r="Z5" s="26"/>
    </row>
    <row r="6" ht="12.75" customHeight="1">
      <c r="A6" s="3"/>
      <c r="B6" s="48"/>
      <c r="C6" s="3"/>
      <c r="D6" s="3"/>
      <c r="E6" s="3"/>
      <c r="F6" s="3"/>
      <c r="G6" s="3"/>
      <c r="H6" s="3"/>
      <c r="I6" s="3"/>
      <c r="J6" s="3"/>
      <c r="K6" s="3"/>
      <c r="L6" s="3"/>
      <c r="M6" s="3"/>
      <c r="N6" s="3"/>
      <c r="O6" s="3"/>
      <c r="P6" s="3"/>
      <c r="Q6" s="3"/>
      <c r="R6" s="3"/>
      <c r="S6" s="3"/>
      <c r="T6" s="3"/>
      <c r="U6" s="3"/>
      <c r="V6" s="3"/>
      <c r="W6" s="3"/>
      <c r="X6" s="3"/>
      <c r="Y6" s="3"/>
      <c r="Z6" s="3"/>
    </row>
    <row r="7" ht="12.75" customHeight="1">
      <c r="A7" s="54"/>
      <c r="B7" s="56"/>
      <c r="C7" s="58"/>
      <c r="D7" s="58"/>
      <c r="E7" s="58"/>
      <c r="F7" s="58"/>
      <c r="G7" s="54"/>
      <c r="H7" s="54"/>
      <c r="I7" s="54"/>
      <c r="J7" s="54"/>
      <c r="K7" s="54"/>
      <c r="L7" s="54"/>
      <c r="M7" s="54"/>
      <c r="N7" s="54"/>
      <c r="O7" s="54"/>
      <c r="P7" s="54"/>
      <c r="Q7" s="54"/>
      <c r="R7" s="54"/>
      <c r="S7" s="54"/>
      <c r="T7" s="54"/>
      <c r="U7" s="54"/>
      <c r="V7" s="54"/>
      <c r="W7" s="54"/>
      <c r="X7" s="54"/>
      <c r="Y7" s="54"/>
      <c r="Z7" s="54"/>
    </row>
    <row r="8" ht="21.0" customHeight="1">
      <c r="A8" s="61"/>
      <c r="B8" s="62" t="s">
        <v>26</v>
      </c>
      <c r="C8" s="64" t="s">
        <v>28</v>
      </c>
      <c r="D8" s="64" t="s">
        <v>29</v>
      </c>
      <c r="E8" s="65" t="s">
        <v>30</v>
      </c>
      <c r="F8" s="66" t="s">
        <v>31</v>
      </c>
      <c r="G8" s="61"/>
      <c r="H8" s="61"/>
      <c r="I8" s="61"/>
      <c r="J8" s="61"/>
      <c r="K8" s="61"/>
      <c r="L8" s="61"/>
      <c r="M8" s="61"/>
      <c r="N8" s="61"/>
      <c r="O8" s="61"/>
      <c r="P8" s="61"/>
      <c r="Q8" s="61"/>
      <c r="R8" s="61"/>
      <c r="S8" s="61"/>
      <c r="T8" s="61"/>
      <c r="U8" s="61"/>
      <c r="V8" s="61"/>
      <c r="W8" s="61"/>
      <c r="X8" s="61"/>
      <c r="Y8" s="61"/>
      <c r="Z8" s="61"/>
    </row>
    <row r="9">
      <c r="A9" s="3"/>
      <c r="B9" s="70">
        <v>1.0</v>
      </c>
      <c r="C9" s="72" t="s">
        <v>37</v>
      </c>
      <c r="D9" s="85" t="s">
        <v>4</v>
      </c>
      <c r="E9" s="85"/>
      <c r="F9" s="87"/>
      <c r="G9" s="3"/>
      <c r="H9" s="3"/>
      <c r="I9" s="3"/>
      <c r="J9" s="3"/>
      <c r="K9" s="3"/>
      <c r="L9" s="3"/>
      <c r="M9" s="3"/>
      <c r="N9" s="3"/>
      <c r="O9" s="3"/>
      <c r="P9" s="3"/>
      <c r="Q9" s="3"/>
      <c r="R9" s="3"/>
      <c r="S9" s="3"/>
      <c r="T9" s="3"/>
      <c r="U9" s="3"/>
      <c r="V9" s="3"/>
      <c r="W9" s="3"/>
      <c r="X9" s="3"/>
      <c r="Y9" s="3"/>
      <c r="Z9" s="3"/>
    </row>
    <row r="10">
      <c r="A10" s="3"/>
      <c r="B10" s="70">
        <v>2.0</v>
      </c>
      <c r="C10" s="72" t="s">
        <v>50</v>
      </c>
      <c r="D10" s="85" t="s">
        <v>4</v>
      </c>
      <c r="E10" s="85"/>
      <c r="F10" s="87"/>
      <c r="G10" s="3"/>
      <c r="H10" s="3"/>
      <c r="I10" s="3"/>
      <c r="J10" s="3"/>
      <c r="K10" s="3"/>
      <c r="L10" s="3"/>
      <c r="M10" s="3"/>
      <c r="N10" s="3"/>
      <c r="O10" s="3"/>
      <c r="P10" s="3"/>
      <c r="Q10" s="3"/>
      <c r="R10" s="3"/>
      <c r="S10" s="3"/>
      <c r="T10" s="3"/>
      <c r="U10" s="3"/>
      <c r="V10" s="3"/>
      <c r="W10" s="3"/>
      <c r="X10" s="3"/>
      <c r="Y10" s="3"/>
      <c r="Z10" s="3"/>
    </row>
    <row r="11">
      <c r="A11" s="3"/>
      <c r="B11" s="70">
        <v>3.0</v>
      </c>
      <c r="C11" s="72" t="s">
        <v>53</v>
      </c>
      <c r="D11" s="85" t="s">
        <v>4</v>
      </c>
      <c r="E11" s="85"/>
      <c r="F11" s="87"/>
      <c r="G11" s="3"/>
      <c r="H11" s="3"/>
      <c r="I11" s="3"/>
      <c r="J11" s="3"/>
      <c r="K11" s="3"/>
      <c r="L11" s="3"/>
      <c r="M11" s="3"/>
      <c r="N11" s="3"/>
      <c r="O11" s="3"/>
      <c r="P11" s="3"/>
      <c r="Q11" s="3"/>
      <c r="R11" s="3"/>
      <c r="S11" s="3"/>
      <c r="T11" s="3"/>
      <c r="U11" s="3"/>
      <c r="V11" s="3"/>
      <c r="W11" s="3"/>
      <c r="X11" s="3"/>
      <c r="Y11" s="3"/>
      <c r="Z11" s="3"/>
    </row>
    <row r="12">
      <c r="A12" s="3"/>
      <c r="B12" s="70">
        <v>4.0</v>
      </c>
      <c r="C12" s="72" t="s">
        <v>58</v>
      </c>
      <c r="D12" s="85" t="s">
        <v>4</v>
      </c>
      <c r="E12" s="85"/>
      <c r="F12" s="87"/>
      <c r="G12" s="3"/>
      <c r="H12" s="3"/>
      <c r="I12" s="3"/>
      <c r="J12" s="3"/>
      <c r="K12" s="3"/>
      <c r="L12" s="3"/>
      <c r="M12" s="3"/>
      <c r="N12" s="3"/>
      <c r="O12" s="3"/>
      <c r="P12" s="3"/>
      <c r="Q12" s="3"/>
      <c r="R12" s="3"/>
      <c r="S12" s="3"/>
      <c r="T12" s="3"/>
      <c r="U12" s="3"/>
      <c r="V12" s="3"/>
      <c r="W12" s="3"/>
      <c r="X12" s="3"/>
      <c r="Y12" s="3"/>
      <c r="Z12" s="3"/>
    </row>
    <row r="13">
      <c r="A13" s="3"/>
      <c r="B13" s="70">
        <v>5.0</v>
      </c>
      <c r="C13" s="72" t="s">
        <v>59</v>
      </c>
      <c r="D13" s="85" t="s">
        <v>4</v>
      </c>
      <c r="E13" s="85"/>
      <c r="F13" s="87"/>
      <c r="G13" s="3"/>
      <c r="H13" s="3"/>
      <c r="I13" s="3"/>
      <c r="J13" s="3"/>
      <c r="K13" s="3"/>
      <c r="L13" s="3"/>
      <c r="M13" s="3"/>
      <c r="N13" s="3"/>
      <c r="O13" s="3"/>
      <c r="P13" s="3"/>
      <c r="Q13" s="3"/>
      <c r="R13" s="3"/>
      <c r="S13" s="3"/>
      <c r="T13" s="3"/>
      <c r="U13" s="3"/>
      <c r="V13" s="3"/>
      <c r="W13" s="3"/>
      <c r="X13" s="3"/>
      <c r="Y13" s="3"/>
      <c r="Z13" s="3"/>
    </row>
    <row r="14">
      <c r="A14" s="3"/>
      <c r="B14" s="70">
        <v>6.0</v>
      </c>
      <c r="C14" s="111" t="s">
        <v>65</v>
      </c>
      <c r="D14" s="85" t="s">
        <v>48</v>
      </c>
      <c r="E14" s="72"/>
      <c r="F14" s="87"/>
      <c r="G14" s="3"/>
      <c r="H14" s="3"/>
      <c r="I14" s="3"/>
      <c r="J14" s="3"/>
      <c r="K14" s="3"/>
      <c r="L14" s="3"/>
      <c r="M14" s="3"/>
      <c r="N14" s="3"/>
      <c r="O14" s="3"/>
      <c r="P14" s="3"/>
      <c r="Q14" s="3"/>
      <c r="R14" s="3"/>
      <c r="S14" s="3"/>
      <c r="T14" s="3"/>
      <c r="U14" s="3"/>
      <c r="V14" s="3"/>
      <c r="W14" s="3"/>
      <c r="X14" s="3"/>
      <c r="Y14" s="3"/>
      <c r="Z14" s="3"/>
    </row>
    <row r="15">
      <c r="A15" s="3"/>
      <c r="B15" s="70">
        <v>7.0</v>
      </c>
      <c r="C15" s="111" t="s">
        <v>70</v>
      </c>
      <c r="D15" s="85" t="s">
        <v>48</v>
      </c>
      <c r="E15" s="72"/>
      <c r="F15" s="87"/>
      <c r="G15" s="3"/>
      <c r="H15" s="3"/>
      <c r="I15" s="3"/>
      <c r="J15" s="3"/>
      <c r="K15" s="3"/>
      <c r="L15" s="3"/>
      <c r="M15" s="3"/>
      <c r="N15" s="3"/>
      <c r="O15" s="3"/>
      <c r="P15" s="3"/>
      <c r="Q15" s="3"/>
      <c r="R15" s="3"/>
      <c r="S15" s="3"/>
      <c r="T15" s="3"/>
      <c r="U15" s="3"/>
      <c r="V15" s="3"/>
      <c r="W15" s="3"/>
      <c r="X15" s="3"/>
      <c r="Y15" s="3"/>
      <c r="Z15" s="3"/>
    </row>
    <row r="16">
      <c r="A16" s="3"/>
      <c r="B16" s="70">
        <v>8.0</v>
      </c>
      <c r="C16" s="111" t="s">
        <v>71</v>
      </c>
      <c r="D16" s="85" t="s">
        <v>48</v>
      </c>
      <c r="E16" s="72"/>
      <c r="F16" s="87"/>
      <c r="G16" s="3"/>
      <c r="H16" s="3"/>
      <c r="I16" s="3"/>
      <c r="J16" s="3"/>
      <c r="K16" s="3"/>
      <c r="L16" s="3"/>
      <c r="M16" s="3"/>
      <c r="N16" s="3"/>
      <c r="O16" s="3"/>
      <c r="P16" s="3"/>
      <c r="Q16" s="3"/>
      <c r="R16" s="3"/>
      <c r="S16" s="3"/>
      <c r="T16" s="3"/>
      <c r="U16" s="3"/>
      <c r="V16" s="3"/>
      <c r="W16" s="3"/>
      <c r="X16" s="3"/>
      <c r="Y16" s="3"/>
      <c r="Z16" s="3"/>
    </row>
    <row r="17">
      <c r="A17" s="3"/>
      <c r="B17" s="70">
        <v>9.0</v>
      </c>
      <c r="C17" s="111" t="s">
        <v>77</v>
      </c>
      <c r="D17" s="85" t="s">
        <v>48</v>
      </c>
      <c r="E17" s="72"/>
      <c r="F17" s="87"/>
      <c r="G17" s="3"/>
      <c r="H17" s="3"/>
      <c r="I17" s="3"/>
      <c r="J17" s="3"/>
      <c r="K17" s="3"/>
      <c r="L17" s="3"/>
      <c r="M17" s="3"/>
      <c r="N17" s="3"/>
      <c r="O17" s="3"/>
      <c r="P17" s="3"/>
      <c r="Q17" s="3"/>
      <c r="R17" s="3"/>
      <c r="S17" s="3"/>
      <c r="T17" s="3"/>
      <c r="U17" s="3"/>
      <c r="V17" s="3"/>
      <c r="W17" s="3"/>
      <c r="X17" s="3"/>
      <c r="Y17" s="3"/>
      <c r="Z17" s="3"/>
    </row>
    <row r="18">
      <c r="A18" s="3"/>
      <c r="B18" s="70">
        <v>10.0</v>
      </c>
      <c r="C18" s="111" t="s">
        <v>79</v>
      </c>
      <c r="D18" s="85" t="s">
        <v>48</v>
      </c>
      <c r="E18" s="72"/>
      <c r="F18" s="87"/>
      <c r="G18" s="3"/>
      <c r="H18" s="3"/>
      <c r="I18" s="3"/>
      <c r="J18" s="3"/>
      <c r="K18" s="3"/>
      <c r="L18" s="3"/>
      <c r="M18" s="3"/>
      <c r="N18" s="3"/>
      <c r="O18" s="3"/>
      <c r="P18" s="3"/>
      <c r="Q18" s="3"/>
      <c r="R18" s="3"/>
      <c r="S18" s="3"/>
      <c r="T18" s="3"/>
      <c r="U18" s="3"/>
      <c r="V18" s="3"/>
      <c r="W18" s="3"/>
      <c r="X18" s="3"/>
      <c r="Y18" s="3"/>
      <c r="Z18" s="3"/>
    </row>
    <row r="19">
      <c r="A19" s="3"/>
      <c r="B19" s="70">
        <v>11.0</v>
      </c>
      <c r="C19" s="72" t="s">
        <v>87</v>
      </c>
      <c r="D19" s="85" t="s">
        <v>41</v>
      </c>
      <c r="E19" s="72"/>
      <c r="F19" s="87"/>
      <c r="G19" s="3"/>
      <c r="H19" s="3"/>
      <c r="I19" s="3"/>
      <c r="J19" s="3"/>
      <c r="K19" s="3"/>
      <c r="L19" s="3"/>
      <c r="M19" s="3"/>
      <c r="N19" s="3"/>
      <c r="O19" s="3"/>
      <c r="P19" s="3"/>
      <c r="Q19" s="3"/>
      <c r="R19" s="3"/>
      <c r="S19" s="3"/>
      <c r="T19" s="3"/>
      <c r="U19" s="3"/>
      <c r="V19" s="3"/>
      <c r="W19" s="3"/>
      <c r="X19" s="3"/>
      <c r="Y19" s="3"/>
      <c r="Z19" s="3"/>
    </row>
    <row r="20">
      <c r="A20" s="3"/>
      <c r="B20" s="70">
        <v>12.0</v>
      </c>
      <c r="C20" s="72" t="s">
        <v>97</v>
      </c>
      <c r="D20" s="85" t="s">
        <v>41</v>
      </c>
      <c r="E20" s="72"/>
      <c r="F20" s="87"/>
      <c r="G20" s="3"/>
      <c r="H20" s="3"/>
      <c r="I20" s="3"/>
      <c r="J20" s="3"/>
      <c r="K20" s="3"/>
      <c r="L20" s="3"/>
      <c r="M20" s="3"/>
      <c r="N20" s="3"/>
      <c r="O20" s="3"/>
      <c r="P20" s="3"/>
      <c r="Q20" s="3"/>
      <c r="R20" s="3"/>
      <c r="S20" s="3"/>
      <c r="T20" s="3"/>
      <c r="U20" s="3"/>
      <c r="V20" s="3"/>
      <c r="W20" s="3"/>
      <c r="X20" s="3"/>
      <c r="Y20" s="3"/>
      <c r="Z20" s="3"/>
    </row>
    <row r="21">
      <c r="A21" s="3"/>
      <c r="B21" s="127">
        <v>13.0</v>
      </c>
      <c r="C21" s="128" t="s">
        <v>104</v>
      </c>
      <c r="D21" s="85" t="s">
        <v>41</v>
      </c>
      <c r="E21" s="128"/>
      <c r="F21" s="130"/>
      <c r="G21" s="3"/>
      <c r="H21" s="3"/>
      <c r="I21" s="3"/>
      <c r="J21" s="3"/>
      <c r="K21" s="3"/>
      <c r="L21" s="3"/>
      <c r="M21" s="3"/>
      <c r="N21" s="3"/>
      <c r="O21" s="3"/>
      <c r="P21" s="3"/>
      <c r="Q21" s="3"/>
      <c r="R21" s="3"/>
      <c r="S21" s="3"/>
      <c r="T21" s="3"/>
      <c r="U21" s="3"/>
      <c r="V21" s="3"/>
      <c r="W21" s="3"/>
      <c r="X21" s="3"/>
      <c r="Y21" s="3"/>
      <c r="Z21" s="3"/>
    </row>
    <row r="22">
      <c r="A22" s="3"/>
      <c r="B22" s="127">
        <v>14.0</v>
      </c>
      <c r="C22" s="128" t="s">
        <v>105</v>
      </c>
      <c r="D22" s="85" t="s">
        <v>41</v>
      </c>
      <c r="E22" s="128"/>
      <c r="F22" s="130"/>
      <c r="G22" s="3"/>
      <c r="H22" s="3"/>
      <c r="I22" s="3"/>
      <c r="J22" s="3"/>
      <c r="K22" s="3"/>
      <c r="L22" s="3"/>
      <c r="M22" s="3"/>
      <c r="N22" s="3"/>
      <c r="O22" s="3"/>
      <c r="P22" s="3"/>
      <c r="Q22" s="3"/>
      <c r="R22" s="3"/>
      <c r="S22" s="3"/>
      <c r="T22" s="3"/>
      <c r="U22" s="3"/>
      <c r="V22" s="3"/>
      <c r="W22" s="3"/>
      <c r="X22" s="3"/>
      <c r="Y22" s="3"/>
      <c r="Z22" s="3"/>
    </row>
    <row r="23">
      <c r="A23" s="3"/>
      <c r="B23" s="127">
        <v>15.0</v>
      </c>
      <c r="C23" s="128" t="s">
        <v>116</v>
      </c>
      <c r="D23" s="85" t="s">
        <v>41</v>
      </c>
      <c r="E23" s="128"/>
      <c r="F23" s="130"/>
      <c r="G23" s="3"/>
      <c r="H23" s="3"/>
      <c r="I23" s="3"/>
      <c r="J23" s="3"/>
      <c r="K23" s="3"/>
      <c r="L23" s="3"/>
      <c r="M23" s="3"/>
      <c r="N23" s="3"/>
      <c r="O23" s="3"/>
      <c r="P23" s="3"/>
      <c r="Q23" s="3"/>
      <c r="R23" s="3"/>
      <c r="S23" s="3"/>
      <c r="T23" s="3"/>
      <c r="U23" s="3"/>
      <c r="V23" s="3"/>
      <c r="W23" s="3"/>
      <c r="X23" s="3"/>
      <c r="Y23" s="3"/>
      <c r="Z23" s="3"/>
    </row>
    <row r="24">
      <c r="A24" s="3"/>
      <c r="B24" s="133">
        <v>16.0</v>
      </c>
      <c r="C24" s="135" t="s">
        <v>121</v>
      </c>
      <c r="D24" s="136" t="s">
        <v>55</v>
      </c>
      <c r="E24" s="135"/>
      <c r="F24" s="138"/>
      <c r="G24" s="3"/>
      <c r="H24" s="3"/>
      <c r="I24" s="3"/>
      <c r="J24" s="3"/>
      <c r="K24" s="3"/>
      <c r="L24" s="3"/>
      <c r="M24" s="3"/>
      <c r="N24" s="3"/>
      <c r="O24" s="3"/>
      <c r="P24" s="3"/>
      <c r="Q24" s="3"/>
      <c r="R24" s="3"/>
      <c r="S24" s="3"/>
      <c r="T24" s="3"/>
      <c r="U24" s="3"/>
      <c r="V24" s="3"/>
      <c r="W24" s="3"/>
      <c r="X24" s="3"/>
      <c r="Y24" s="3"/>
      <c r="Z24" s="3"/>
    </row>
    <row r="25">
      <c r="A25" s="3"/>
      <c r="B25" s="133">
        <v>17.0</v>
      </c>
      <c r="C25" s="135" t="s">
        <v>127</v>
      </c>
      <c r="D25" s="136" t="s">
        <v>55</v>
      </c>
      <c r="E25" s="135"/>
      <c r="F25" s="138"/>
      <c r="G25" s="3"/>
      <c r="H25" s="3"/>
      <c r="I25" s="3"/>
      <c r="J25" s="3"/>
      <c r="K25" s="3"/>
      <c r="L25" s="3"/>
      <c r="M25" s="3"/>
      <c r="N25" s="3"/>
      <c r="O25" s="3"/>
      <c r="P25" s="3"/>
      <c r="Q25" s="3"/>
      <c r="R25" s="3"/>
      <c r="S25" s="3"/>
      <c r="T25" s="3"/>
      <c r="U25" s="3"/>
      <c r="V25" s="3"/>
      <c r="W25" s="3"/>
      <c r="X25" s="3"/>
      <c r="Y25" s="3"/>
      <c r="Z25" s="3"/>
    </row>
    <row r="26">
      <c r="A26" s="3"/>
      <c r="B26" s="133">
        <v>18.0</v>
      </c>
      <c r="C26" s="135" t="s">
        <v>133</v>
      </c>
      <c r="D26" s="136" t="s">
        <v>55</v>
      </c>
      <c r="E26" s="135"/>
      <c r="F26" s="138"/>
      <c r="G26" s="3"/>
      <c r="H26" s="3"/>
      <c r="I26" s="3"/>
      <c r="J26" s="3"/>
      <c r="K26" s="3"/>
      <c r="L26" s="3"/>
      <c r="M26" s="3"/>
      <c r="N26" s="3"/>
      <c r="O26" s="3"/>
      <c r="P26" s="3"/>
      <c r="Q26" s="3"/>
      <c r="R26" s="3"/>
      <c r="S26" s="3"/>
      <c r="T26" s="3"/>
      <c r="U26" s="3"/>
      <c r="V26" s="3"/>
      <c r="W26" s="3"/>
      <c r="X26" s="3"/>
      <c r="Y26" s="3"/>
      <c r="Z26" s="3"/>
    </row>
    <row r="27">
      <c r="A27" s="3"/>
      <c r="B27" s="133">
        <v>19.0</v>
      </c>
      <c r="C27" s="135" t="s">
        <v>834</v>
      </c>
      <c r="D27" s="136" t="s">
        <v>55</v>
      </c>
      <c r="E27" s="135"/>
      <c r="F27" s="138"/>
      <c r="G27" s="3"/>
      <c r="H27" s="3"/>
      <c r="I27" s="3"/>
      <c r="J27" s="3"/>
      <c r="K27" s="3"/>
      <c r="L27" s="3"/>
      <c r="M27" s="3"/>
      <c r="N27" s="3"/>
      <c r="O27" s="3"/>
      <c r="P27" s="3"/>
      <c r="Q27" s="3"/>
      <c r="R27" s="3"/>
      <c r="S27" s="3"/>
      <c r="T27" s="3"/>
      <c r="U27" s="3"/>
      <c r="V27" s="3"/>
      <c r="W27" s="3"/>
      <c r="X27" s="3"/>
      <c r="Y27" s="3"/>
      <c r="Z27" s="3"/>
    </row>
    <row r="28" ht="12.75" customHeight="1">
      <c r="A28" s="3"/>
      <c r="B28" s="148"/>
      <c r="C28" s="149"/>
      <c r="D28" s="149"/>
      <c r="E28" s="149"/>
      <c r="F28" s="149"/>
      <c r="G28" s="3"/>
      <c r="H28" s="3"/>
      <c r="I28" s="3"/>
      <c r="J28" s="3"/>
      <c r="K28" s="3"/>
      <c r="L28" s="3"/>
      <c r="M28" s="3"/>
      <c r="N28" s="3"/>
      <c r="O28" s="3"/>
      <c r="P28" s="3"/>
      <c r="Q28" s="3"/>
      <c r="R28" s="3"/>
      <c r="S28" s="3"/>
      <c r="T28" s="3"/>
      <c r="U28" s="3"/>
      <c r="V28" s="3"/>
      <c r="W28" s="3"/>
      <c r="X28" s="3"/>
      <c r="Y28" s="3"/>
      <c r="Z28" s="3"/>
    </row>
    <row r="29" ht="12.75" customHeight="1">
      <c r="A29" s="3"/>
      <c r="B29" s="4"/>
      <c r="C29" s="6"/>
      <c r="D29" s="6"/>
      <c r="E29" s="6"/>
      <c r="F29" s="6"/>
      <c r="G29" s="3"/>
      <c r="H29" s="3"/>
      <c r="I29" s="3"/>
      <c r="J29" s="3"/>
      <c r="K29" s="3"/>
      <c r="L29" s="3"/>
      <c r="M29" s="3"/>
      <c r="N29" s="3"/>
      <c r="O29" s="3"/>
      <c r="P29" s="3"/>
      <c r="Q29" s="3"/>
      <c r="R29" s="3"/>
      <c r="S29" s="3"/>
      <c r="T29" s="3"/>
      <c r="U29" s="3"/>
      <c r="V29" s="3"/>
      <c r="W29" s="3"/>
      <c r="X29" s="3"/>
      <c r="Y29" s="3"/>
      <c r="Z29" s="3"/>
    </row>
    <row r="30" ht="12.75" customHeight="1">
      <c r="A30" s="3"/>
      <c r="B30" s="4"/>
      <c r="C30" s="6"/>
      <c r="D30" s="6"/>
      <c r="E30" s="6"/>
      <c r="F30" s="6"/>
      <c r="G30" s="3"/>
      <c r="H30" s="3"/>
      <c r="I30" s="3"/>
      <c r="J30" s="3"/>
      <c r="K30" s="3"/>
      <c r="L30" s="3"/>
      <c r="M30" s="3"/>
      <c r="N30" s="3"/>
      <c r="O30" s="3"/>
      <c r="P30" s="3"/>
      <c r="Q30" s="3"/>
      <c r="R30" s="3"/>
      <c r="S30" s="3"/>
      <c r="T30" s="3"/>
      <c r="U30" s="3"/>
      <c r="V30" s="3"/>
      <c r="W30" s="3"/>
      <c r="X30" s="3"/>
      <c r="Y30" s="3"/>
      <c r="Z30" s="3"/>
    </row>
    <row r="31" ht="12.75" customHeight="1">
      <c r="A31" s="3"/>
      <c r="B31" s="4"/>
      <c r="C31" s="6"/>
      <c r="D31" s="6"/>
      <c r="E31" s="6"/>
      <c r="F31" s="6"/>
      <c r="G31" s="3"/>
      <c r="H31" s="3"/>
      <c r="I31" s="3"/>
      <c r="J31" s="3"/>
      <c r="K31" s="3"/>
      <c r="L31" s="3"/>
      <c r="M31" s="3"/>
      <c r="N31" s="3"/>
      <c r="O31" s="3"/>
      <c r="P31" s="3"/>
      <c r="Q31" s="3"/>
      <c r="R31" s="3"/>
      <c r="S31" s="3"/>
      <c r="T31" s="3"/>
      <c r="U31" s="3"/>
      <c r="V31" s="3"/>
      <c r="W31" s="3"/>
      <c r="X31" s="3"/>
      <c r="Y31" s="3"/>
      <c r="Z31" s="3"/>
    </row>
    <row r="32" ht="12.75" customHeight="1">
      <c r="A32" s="3"/>
      <c r="B32" s="4"/>
      <c r="C32" s="6"/>
      <c r="D32" s="6"/>
      <c r="E32" s="6"/>
      <c r="F32" s="6"/>
      <c r="G32" s="3"/>
      <c r="H32" s="3"/>
      <c r="I32" s="3"/>
      <c r="J32" s="3"/>
      <c r="K32" s="3"/>
      <c r="L32" s="3"/>
      <c r="M32" s="3"/>
      <c r="N32" s="3"/>
      <c r="O32" s="3"/>
      <c r="P32" s="3"/>
      <c r="Q32" s="3"/>
      <c r="R32" s="3"/>
      <c r="S32" s="3"/>
      <c r="T32" s="3"/>
      <c r="U32" s="3"/>
      <c r="V32" s="3"/>
      <c r="W32" s="3"/>
      <c r="X32" s="3"/>
      <c r="Y32" s="3"/>
      <c r="Z32" s="3"/>
    </row>
    <row r="33" ht="12.75" customHeight="1">
      <c r="A33" s="3"/>
      <c r="B33" s="4"/>
      <c r="C33" s="6"/>
      <c r="D33" s="6"/>
      <c r="E33" s="6"/>
      <c r="F33" s="6"/>
      <c r="G33" s="3"/>
      <c r="H33" s="3"/>
      <c r="I33" s="3"/>
      <c r="J33" s="3"/>
      <c r="K33" s="3"/>
      <c r="L33" s="3"/>
      <c r="M33" s="3"/>
      <c r="N33" s="3"/>
      <c r="O33" s="3"/>
      <c r="P33" s="3"/>
      <c r="Q33" s="3"/>
      <c r="R33" s="3"/>
      <c r="S33" s="3"/>
      <c r="T33" s="3"/>
      <c r="U33" s="3"/>
      <c r="V33" s="3"/>
      <c r="W33" s="3"/>
      <c r="X33" s="3"/>
      <c r="Y33" s="3"/>
      <c r="Z33" s="3"/>
    </row>
    <row r="34" ht="12.75" customHeight="1">
      <c r="A34" s="3"/>
      <c r="B34" s="4"/>
      <c r="C34" s="6"/>
      <c r="D34" s="6"/>
      <c r="E34" s="6"/>
      <c r="F34" s="6"/>
      <c r="G34" s="3"/>
      <c r="H34" s="3"/>
      <c r="I34" s="3"/>
      <c r="J34" s="3"/>
      <c r="K34" s="3"/>
      <c r="L34" s="3"/>
      <c r="M34" s="3"/>
      <c r="N34" s="3"/>
      <c r="O34" s="3"/>
      <c r="P34" s="3"/>
      <c r="Q34" s="3"/>
      <c r="R34" s="3"/>
      <c r="S34" s="3"/>
      <c r="T34" s="3"/>
      <c r="U34" s="3"/>
      <c r="V34" s="3"/>
      <c r="W34" s="3"/>
      <c r="X34" s="3"/>
      <c r="Y34" s="3"/>
      <c r="Z34" s="3"/>
    </row>
    <row r="35" ht="12.75" customHeight="1">
      <c r="A35" s="3"/>
      <c r="B35" s="4"/>
      <c r="C35" s="6"/>
      <c r="D35" s="6"/>
      <c r="E35" s="6"/>
      <c r="F35" s="6"/>
      <c r="G35" s="3"/>
      <c r="H35" s="3"/>
      <c r="I35" s="3"/>
      <c r="J35" s="3"/>
      <c r="K35" s="3"/>
      <c r="L35" s="3"/>
      <c r="M35" s="3"/>
      <c r="N35" s="3"/>
      <c r="O35" s="3"/>
      <c r="P35" s="3"/>
      <c r="Q35" s="3"/>
      <c r="R35" s="3"/>
      <c r="S35" s="3"/>
      <c r="T35" s="3"/>
      <c r="U35" s="3"/>
      <c r="V35" s="3"/>
      <c r="W35" s="3"/>
      <c r="X35" s="3"/>
      <c r="Y35" s="3"/>
      <c r="Z35" s="3"/>
    </row>
    <row r="36" ht="12.75" customHeight="1">
      <c r="A36" s="3"/>
      <c r="B36" s="4"/>
      <c r="C36" s="6"/>
      <c r="D36" s="6"/>
      <c r="E36" s="6"/>
      <c r="F36" s="6"/>
      <c r="G36" s="3"/>
      <c r="H36" s="3"/>
      <c r="I36" s="3"/>
      <c r="J36" s="3"/>
      <c r="K36" s="3"/>
      <c r="L36" s="3"/>
      <c r="M36" s="3"/>
      <c r="N36" s="3"/>
      <c r="O36" s="3"/>
      <c r="P36" s="3"/>
      <c r="Q36" s="3"/>
      <c r="R36" s="3"/>
      <c r="S36" s="3"/>
      <c r="T36" s="3"/>
      <c r="U36" s="3"/>
      <c r="V36" s="3"/>
      <c r="W36" s="3"/>
      <c r="X36" s="3"/>
      <c r="Y36" s="3"/>
      <c r="Z36" s="3"/>
    </row>
    <row r="37" ht="12.75" customHeight="1">
      <c r="A37" s="3"/>
      <c r="B37" s="4"/>
      <c r="C37" s="6"/>
      <c r="D37" s="6"/>
      <c r="E37" s="6"/>
      <c r="F37" s="6"/>
      <c r="G37" s="3"/>
      <c r="H37" s="3"/>
      <c r="I37" s="3"/>
      <c r="J37" s="3"/>
      <c r="K37" s="3"/>
      <c r="L37" s="3"/>
      <c r="M37" s="3"/>
      <c r="N37" s="3"/>
      <c r="O37" s="3"/>
      <c r="P37" s="3"/>
      <c r="Q37" s="3"/>
      <c r="R37" s="3"/>
      <c r="S37" s="3"/>
      <c r="T37" s="3"/>
      <c r="U37" s="3"/>
      <c r="V37" s="3"/>
      <c r="W37" s="3"/>
      <c r="X37" s="3"/>
      <c r="Y37" s="3"/>
      <c r="Z37" s="3"/>
    </row>
    <row r="38" ht="12.75" customHeight="1">
      <c r="A38" s="3"/>
      <c r="B38" s="4"/>
      <c r="C38" s="6"/>
      <c r="D38" s="6"/>
      <c r="E38" s="6"/>
      <c r="F38" s="6"/>
      <c r="G38" s="3"/>
      <c r="H38" s="3"/>
      <c r="I38" s="3"/>
      <c r="J38" s="3"/>
      <c r="K38" s="3"/>
      <c r="L38" s="3"/>
      <c r="M38" s="3"/>
      <c r="N38" s="3"/>
      <c r="O38" s="3"/>
      <c r="P38" s="3"/>
      <c r="Q38" s="3"/>
      <c r="R38" s="3"/>
      <c r="S38" s="3"/>
      <c r="T38" s="3"/>
      <c r="U38" s="3"/>
      <c r="V38" s="3"/>
      <c r="W38" s="3"/>
      <c r="X38" s="3"/>
      <c r="Y38" s="3"/>
      <c r="Z38" s="3"/>
    </row>
    <row r="39" ht="12.75" customHeight="1">
      <c r="A39" s="3"/>
      <c r="B39" s="4"/>
      <c r="C39" s="6"/>
      <c r="D39" s="6"/>
      <c r="E39" s="6"/>
      <c r="F39" s="6"/>
      <c r="G39" s="3"/>
      <c r="H39" s="3"/>
      <c r="I39" s="3"/>
      <c r="J39" s="3"/>
      <c r="K39" s="3"/>
      <c r="L39" s="3"/>
      <c r="M39" s="3"/>
      <c r="N39" s="3"/>
      <c r="O39" s="3"/>
      <c r="P39" s="3"/>
      <c r="Q39" s="3"/>
      <c r="R39" s="3"/>
      <c r="S39" s="3"/>
      <c r="T39" s="3"/>
      <c r="U39" s="3"/>
      <c r="V39" s="3"/>
      <c r="W39" s="3"/>
      <c r="X39" s="3"/>
      <c r="Y39" s="3"/>
      <c r="Z39" s="3"/>
    </row>
    <row r="40" ht="12.75" customHeight="1">
      <c r="A40" s="3"/>
      <c r="B40" s="4"/>
      <c r="C40" s="6"/>
      <c r="D40" s="6"/>
      <c r="E40" s="6"/>
      <c r="F40" s="6"/>
      <c r="G40" s="3"/>
      <c r="H40" s="3"/>
      <c r="I40" s="3"/>
      <c r="J40" s="3"/>
      <c r="K40" s="3"/>
      <c r="L40" s="3"/>
      <c r="M40" s="3"/>
      <c r="N40" s="3"/>
      <c r="O40" s="3"/>
      <c r="P40" s="3"/>
      <c r="Q40" s="3"/>
      <c r="R40" s="3"/>
      <c r="S40" s="3"/>
      <c r="T40" s="3"/>
      <c r="U40" s="3"/>
      <c r="V40" s="3"/>
      <c r="W40" s="3"/>
      <c r="X40" s="3"/>
      <c r="Y40" s="3"/>
      <c r="Z40" s="3"/>
    </row>
    <row r="41" ht="12.75" customHeight="1">
      <c r="A41" s="3"/>
      <c r="B41" s="4"/>
      <c r="C41" s="6"/>
      <c r="D41" s="6"/>
      <c r="E41" s="6"/>
      <c r="F41" s="6"/>
      <c r="G41" s="3"/>
      <c r="H41" s="3"/>
      <c r="I41" s="3"/>
      <c r="J41" s="3"/>
      <c r="K41" s="3"/>
      <c r="L41" s="3"/>
      <c r="M41" s="3"/>
      <c r="N41" s="3"/>
      <c r="O41" s="3"/>
      <c r="P41" s="3"/>
      <c r="Q41" s="3"/>
      <c r="R41" s="3"/>
      <c r="S41" s="3"/>
      <c r="T41" s="3"/>
      <c r="U41" s="3"/>
      <c r="V41" s="3"/>
      <c r="W41" s="3"/>
      <c r="X41" s="3"/>
      <c r="Y41" s="3"/>
      <c r="Z41" s="3"/>
    </row>
    <row r="42" ht="12.75" customHeight="1">
      <c r="A42" s="3"/>
      <c r="B42" s="4"/>
      <c r="C42" s="6"/>
      <c r="D42" s="6"/>
      <c r="E42" s="6"/>
      <c r="F42" s="6"/>
      <c r="G42" s="3"/>
      <c r="H42" s="3"/>
      <c r="I42" s="3"/>
      <c r="J42" s="3"/>
      <c r="K42" s="3"/>
      <c r="L42" s="3"/>
      <c r="M42" s="3"/>
      <c r="N42" s="3"/>
      <c r="O42" s="3"/>
      <c r="P42" s="3"/>
      <c r="Q42" s="3"/>
      <c r="R42" s="3"/>
      <c r="S42" s="3"/>
      <c r="T42" s="3"/>
      <c r="U42" s="3"/>
      <c r="V42" s="3"/>
      <c r="W42" s="3"/>
      <c r="X42" s="3"/>
      <c r="Y42" s="3"/>
      <c r="Z42" s="3"/>
    </row>
    <row r="43" ht="12.75" customHeight="1">
      <c r="A43" s="3"/>
      <c r="B43" s="4"/>
      <c r="C43" s="6"/>
      <c r="D43" s="6"/>
      <c r="E43" s="6"/>
      <c r="F43" s="6"/>
      <c r="G43" s="3"/>
      <c r="H43" s="3"/>
      <c r="I43" s="3"/>
      <c r="J43" s="3"/>
      <c r="K43" s="3"/>
      <c r="L43" s="3"/>
      <c r="M43" s="3"/>
      <c r="N43" s="3"/>
      <c r="O43" s="3"/>
      <c r="P43" s="3"/>
      <c r="Q43" s="3"/>
      <c r="R43" s="3"/>
      <c r="S43" s="3"/>
      <c r="T43" s="3"/>
      <c r="U43" s="3"/>
      <c r="V43" s="3"/>
      <c r="W43" s="3"/>
      <c r="X43" s="3"/>
      <c r="Y43" s="3"/>
      <c r="Z43" s="3"/>
    </row>
    <row r="44" ht="12.75" customHeight="1">
      <c r="A44" s="3"/>
      <c r="B44" s="4"/>
      <c r="C44" s="6"/>
      <c r="D44" s="6"/>
      <c r="E44" s="6"/>
      <c r="F44" s="6"/>
      <c r="G44" s="3"/>
      <c r="H44" s="3"/>
      <c r="I44" s="3"/>
      <c r="J44" s="3"/>
      <c r="K44" s="3"/>
      <c r="L44" s="3"/>
      <c r="M44" s="3"/>
      <c r="N44" s="3"/>
      <c r="O44" s="3"/>
      <c r="P44" s="3"/>
      <c r="Q44" s="3"/>
      <c r="R44" s="3"/>
      <c r="S44" s="3"/>
      <c r="T44" s="3"/>
      <c r="U44" s="3"/>
      <c r="V44" s="3"/>
      <c r="W44" s="3"/>
      <c r="X44" s="3"/>
      <c r="Y44" s="3"/>
      <c r="Z44" s="3"/>
    </row>
    <row r="45" ht="12.75" customHeight="1">
      <c r="A45" s="3"/>
      <c r="B45" s="4"/>
      <c r="C45" s="6"/>
      <c r="D45" s="6"/>
      <c r="E45" s="6"/>
      <c r="F45" s="6"/>
      <c r="G45" s="3"/>
      <c r="H45" s="3"/>
      <c r="I45" s="3"/>
      <c r="J45" s="3"/>
      <c r="K45" s="3"/>
      <c r="L45" s="3"/>
      <c r="M45" s="3"/>
      <c r="N45" s="3"/>
      <c r="O45" s="3"/>
      <c r="P45" s="3"/>
      <c r="Q45" s="3"/>
      <c r="R45" s="3"/>
      <c r="S45" s="3"/>
      <c r="T45" s="3"/>
      <c r="U45" s="3"/>
      <c r="V45" s="3"/>
      <c r="W45" s="3"/>
      <c r="X45" s="3"/>
      <c r="Y45" s="3"/>
      <c r="Z45" s="3"/>
    </row>
    <row r="46" ht="12.75" customHeight="1">
      <c r="A46" s="3"/>
      <c r="B46" s="4"/>
      <c r="C46" s="6"/>
      <c r="D46" s="6"/>
      <c r="E46" s="6"/>
      <c r="F46" s="6"/>
      <c r="G46" s="3"/>
      <c r="H46" s="3"/>
      <c r="I46" s="3"/>
      <c r="J46" s="3"/>
      <c r="K46" s="3"/>
      <c r="L46" s="3"/>
      <c r="M46" s="3"/>
      <c r="N46" s="3"/>
      <c r="O46" s="3"/>
      <c r="P46" s="3"/>
      <c r="Q46" s="3"/>
      <c r="R46" s="3"/>
      <c r="S46" s="3"/>
      <c r="T46" s="3"/>
      <c r="U46" s="3"/>
      <c r="V46" s="3"/>
      <c r="W46" s="3"/>
      <c r="X46" s="3"/>
      <c r="Y46" s="3"/>
      <c r="Z46" s="3"/>
    </row>
    <row r="47" ht="12.75" customHeight="1">
      <c r="A47" s="3"/>
      <c r="B47" s="4"/>
      <c r="C47" s="6"/>
      <c r="D47" s="6"/>
      <c r="E47" s="6"/>
      <c r="F47" s="6"/>
      <c r="G47" s="3"/>
      <c r="H47" s="3"/>
      <c r="I47" s="3"/>
      <c r="J47" s="3"/>
      <c r="K47" s="3"/>
      <c r="L47" s="3"/>
      <c r="M47" s="3"/>
      <c r="N47" s="3"/>
      <c r="O47" s="3"/>
      <c r="P47" s="3"/>
      <c r="Q47" s="3"/>
      <c r="R47" s="3"/>
      <c r="S47" s="3"/>
      <c r="T47" s="3"/>
      <c r="U47" s="3"/>
      <c r="V47" s="3"/>
      <c r="W47" s="3"/>
      <c r="X47" s="3"/>
      <c r="Y47" s="3"/>
      <c r="Z47" s="3"/>
    </row>
    <row r="48" ht="12.75" customHeight="1">
      <c r="A48" s="3"/>
      <c r="B48" s="4"/>
      <c r="C48" s="6"/>
      <c r="D48" s="6"/>
      <c r="E48" s="6"/>
      <c r="F48" s="6"/>
      <c r="G48" s="3"/>
      <c r="H48" s="3"/>
      <c r="I48" s="3"/>
      <c r="J48" s="3"/>
      <c r="K48" s="3"/>
      <c r="L48" s="3"/>
      <c r="M48" s="3"/>
      <c r="N48" s="3"/>
      <c r="O48" s="3"/>
      <c r="P48" s="3"/>
      <c r="Q48" s="3"/>
      <c r="R48" s="3"/>
      <c r="S48" s="3"/>
      <c r="T48" s="3"/>
      <c r="U48" s="3"/>
      <c r="V48" s="3"/>
      <c r="W48" s="3"/>
      <c r="X48" s="3"/>
      <c r="Y48" s="3"/>
      <c r="Z48" s="3"/>
    </row>
    <row r="49" ht="12.75" customHeight="1">
      <c r="A49" s="3"/>
      <c r="B49" s="4"/>
      <c r="C49" s="6"/>
      <c r="D49" s="6"/>
      <c r="E49" s="6"/>
      <c r="F49" s="6"/>
      <c r="G49" s="3"/>
      <c r="H49" s="3"/>
      <c r="I49" s="3"/>
      <c r="J49" s="3"/>
      <c r="K49" s="3"/>
      <c r="L49" s="3"/>
      <c r="M49" s="3"/>
      <c r="N49" s="3"/>
      <c r="O49" s="3"/>
      <c r="P49" s="3"/>
      <c r="Q49" s="3"/>
      <c r="R49" s="3"/>
      <c r="S49" s="3"/>
      <c r="T49" s="3"/>
      <c r="U49" s="3"/>
      <c r="V49" s="3"/>
      <c r="W49" s="3"/>
      <c r="X49" s="3"/>
      <c r="Y49" s="3"/>
      <c r="Z49" s="3"/>
    </row>
    <row r="50" ht="12.75" customHeight="1">
      <c r="A50" s="3"/>
      <c r="B50" s="4"/>
      <c r="C50" s="6"/>
      <c r="D50" s="6"/>
      <c r="E50" s="6"/>
      <c r="F50" s="6"/>
      <c r="G50" s="3"/>
      <c r="H50" s="3"/>
      <c r="I50" s="3"/>
      <c r="J50" s="3"/>
      <c r="K50" s="3"/>
      <c r="L50" s="3"/>
      <c r="M50" s="3"/>
      <c r="N50" s="3"/>
      <c r="O50" s="3"/>
      <c r="P50" s="3"/>
      <c r="Q50" s="3"/>
      <c r="R50" s="3"/>
      <c r="S50" s="3"/>
      <c r="T50" s="3"/>
      <c r="U50" s="3"/>
      <c r="V50" s="3"/>
      <c r="W50" s="3"/>
      <c r="X50" s="3"/>
      <c r="Y50" s="3"/>
      <c r="Z50" s="3"/>
    </row>
    <row r="51" ht="12.75" customHeight="1">
      <c r="A51" s="3"/>
      <c r="B51" s="4"/>
      <c r="C51" s="6"/>
      <c r="D51" s="6"/>
      <c r="E51" s="6"/>
      <c r="F51" s="6"/>
      <c r="G51" s="3"/>
      <c r="H51" s="3"/>
      <c r="I51" s="3"/>
      <c r="J51" s="3"/>
      <c r="K51" s="3"/>
      <c r="L51" s="3"/>
      <c r="M51" s="3"/>
      <c r="N51" s="3"/>
      <c r="O51" s="3"/>
      <c r="P51" s="3"/>
      <c r="Q51" s="3"/>
      <c r="R51" s="3"/>
      <c r="S51" s="3"/>
      <c r="T51" s="3"/>
      <c r="U51" s="3"/>
      <c r="V51" s="3"/>
      <c r="W51" s="3"/>
      <c r="X51" s="3"/>
      <c r="Y51" s="3"/>
      <c r="Z51" s="3"/>
    </row>
    <row r="52" ht="12.75" customHeight="1">
      <c r="A52" s="3"/>
      <c r="B52" s="4"/>
      <c r="C52" s="6"/>
      <c r="D52" s="6"/>
      <c r="E52" s="6"/>
      <c r="F52" s="6"/>
      <c r="G52" s="3"/>
      <c r="H52" s="3"/>
      <c r="I52" s="3"/>
      <c r="J52" s="3"/>
      <c r="K52" s="3"/>
      <c r="L52" s="3"/>
      <c r="M52" s="3"/>
      <c r="N52" s="3"/>
      <c r="O52" s="3"/>
      <c r="P52" s="3"/>
      <c r="Q52" s="3"/>
      <c r="R52" s="3"/>
      <c r="S52" s="3"/>
      <c r="T52" s="3"/>
      <c r="U52" s="3"/>
      <c r="V52" s="3"/>
      <c r="W52" s="3"/>
      <c r="X52" s="3"/>
      <c r="Y52" s="3"/>
      <c r="Z52" s="3"/>
    </row>
    <row r="53" ht="12.75" customHeight="1">
      <c r="A53" s="3"/>
      <c r="B53" s="4"/>
      <c r="C53" s="6"/>
      <c r="D53" s="6"/>
      <c r="E53" s="6"/>
      <c r="F53" s="6"/>
      <c r="G53" s="3"/>
      <c r="H53" s="3"/>
      <c r="I53" s="3"/>
      <c r="J53" s="3"/>
      <c r="K53" s="3"/>
      <c r="L53" s="3"/>
      <c r="M53" s="3"/>
      <c r="N53" s="3"/>
      <c r="O53" s="3"/>
      <c r="P53" s="3"/>
      <c r="Q53" s="3"/>
      <c r="R53" s="3"/>
      <c r="S53" s="3"/>
      <c r="T53" s="3"/>
      <c r="U53" s="3"/>
      <c r="V53" s="3"/>
      <c r="W53" s="3"/>
      <c r="X53" s="3"/>
      <c r="Y53" s="3"/>
      <c r="Z53" s="3"/>
    </row>
    <row r="54" ht="12.75" customHeight="1">
      <c r="A54" s="3"/>
      <c r="B54" s="4"/>
      <c r="C54" s="6"/>
      <c r="D54" s="6"/>
      <c r="E54" s="6"/>
      <c r="F54" s="6"/>
      <c r="G54" s="3"/>
      <c r="H54" s="3"/>
      <c r="I54" s="3"/>
      <c r="J54" s="3"/>
      <c r="K54" s="3"/>
      <c r="L54" s="3"/>
      <c r="M54" s="3"/>
      <c r="N54" s="3"/>
      <c r="O54" s="3"/>
      <c r="P54" s="3"/>
      <c r="Q54" s="3"/>
      <c r="R54" s="3"/>
      <c r="S54" s="3"/>
      <c r="T54" s="3"/>
      <c r="U54" s="3"/>
      <c r="V54" s="3"/>
      <c r="W54" s="3"/>
      <c r="X54" s="3"/>
      <c r="Y54" s="3"/>
      <c r="Z54" s="3"/>
    </row>
    <row r="55" ht="12.75" customHeight="1">
      <c r="A55" s="3"/>
      <c r="B55" s="4"/>
      <c r="C55" s="6"/>
      <c r="D55" s="6"/>
      <c r="E55" s="6"/>
      <c r="F55" s="6"/>
      <c r="G55" s="3"/>
      <c r="H55" s="3"/>
      <c r="I55" s="3"/>
      <c r="J55" s="3"/>
      <c r="K55" s="3"/>
      <c r="L55" s="3"/>
      <c r="M55" s="3"/>
      <c r="N55" s="3"/>
      <c r="O55" s="3"/>
      <c r="P55" s="3"/>
      <c r="Q55" s="3"/>
      <c r="R55" s="3"/>
      <c r="S55" s="3"/>
      <c r="T55" s="3"/>
      <c r="U55" s="3"/>
      <c r="V55" s="3"/>
      <c r="W55" s="3"/>
      <c r="X55" s="3"/>
      <c r="Y55" s="3"/>
      <c r="Z55" s="3"/>
    </row>
    <row r="56" ht="12.75" customHeight="1">
      <c r="A56" s="3"/>
      <c r="B56" s="4"/>
      <c r="C56" s="6"/>
      <c r="D56" s="6"/>
      <c r="E56" s="6"/>
      <c r="F56" s="6"/>
      <c r="G56" s="3"/>
      <c r="H56" s="3"/>
      <c r="I56" s="3"/>
      <c r="J56" s="3"/>
      <c r="K56" s="3"/>
      <c r="L56" s="3"/>
      <c r="M56" s="3"/>
      <c r="N56" s="3"/>
      <c r="O56" s="3"/>
      <c r="P56" s="3"/>
      <c r="Q56" s="3"/>
      <c r="R56" s="3"/>
      <c r="S56" s="3"/>
      <c r="T56" s="3"/>
      <c r="U56" s="3"/>
      <c r="V56" s="3"/>
      <c r="W56" s="3"/>
      <c r="X56" s="3"/>
      <c r="Y56" s="3"/>
      <c r="Z56" s="3"/>
    </row>
    <row r="57" ht="12.75" customHeight="1">
      <c r="A57" s="3"/>
      <c r="B57" s="4"/>
      <c r="C57" s="6"/>
      <c r="D57" s="6"/>
      <c r="E57" s="6"/>
      <c r="F57" s="6"/>
      <c r="G57" s="3"/>
      <c r="H57" s="3"/>
      <c r="I57" s="3"/>
      <c r="J57" s="3"/>
      <c r="K57" s="3"/>
      <c r="L57" s="3"/>
      <c r="M57" s="3"/>
      <c r="N57" s="3"/>
      <c r="O57" s="3"/>
      <c r="P57" s="3"/>
      <c r="Q57" s="3"/>
      <c r="R57" s="3"/>
      <c r="S57" s="3"/>
      <c r="T57" s="3"/>
      <c r="U57" s="3"/>
      <c r="V57" s="3"/>
      <c r="W57" s="3"/>
      <c r="X57" s="3"/>
      <c r="Y57" s="3"/>
      <c r="Z57" s="3"/>
    </row>
    <row r="58" ht="12.75" customHeight="1">
      <c r="A58" s="3"/>
      <c r="B58" s="4"/>
      <c r="C58" s="6"/>
      <c r="D58" s="6"/>
      <c r="E58" s="6"/>
      <c r="F58" s="6"/>
      <c r="G58" s="3"/>
      <c r="H58" s="3"/>
      <c r="I58" s="3"/>
      <c r="J58" s="3"/>
      <c r="K58" s="3"/>
      <c r="L58" s="3"/>
      <c r="M58" s="3"/>
      <c r="N58" s="3"/>
      <c r="O58" s="3"/>
      <c r="P58" s="3"/>
      <c r="Q58" s="3"/>
      <c r="R58" s="3"/>
      <c r="S58" s="3"/>
      <c r="T58" s="3"/>
      <c r="U58" s="3"/>
      <c r="V58" s="3"/>
      <c r="W58" s="3"/>
      <c r="X58" s="3"/>
      <c r="Y58" s="3"/>
      <c r="Z58" s="3"/>
    </row>
    <row r="59" ht="12.75" customHeight="1">
      <c r="A59" s="3"/>
      <c r="B59" s="4"/>
      <c r="C59" s="6"/>
      <c r="D59" s="6"/>
      <c r="E59" s="6"/>
      <c r="F59" s="6"/>
      <c r="G59" s="3"/>
      <c r="H59" s="3"/>
      <c r="I59" s="3"/>
      <c r="J59" s="3"/>
      <c r="K59" s="3"/>
      <c r="L59" s="3"/>
      <c r="M59" s="3"/>
      <c r="N59" s="3"/>
      <c r="O59" s="3"/>
      <c r="P59" s="3"/>
      <c r="Q59" s="3"/>
      <c r="R59" s="3"/>
      <c r="S59" s="3"/>
      <c r="T59" s="3"/>
      <c r="U59" s="3"/>
      <c r="V59" s="3"/>
      <c r="W59" s="3"/>
      <c r="X59" s="3"/>
      <c r="Y59" s="3"/>
      <c r="Z59" s="3"/>
    </row>
    <row r="60" ht="12.75" customHeight="1">
      <c r="A60" s="3"/>
      <c r="B60" s="4"/>
      <c r="C60" s="6"/>
      <c r="D60" s="6"/>
      <c r="E60" s="6"/>
      <c r="F60" s="6"/>
      <c r="G60" s="3"/>
      <c r="H60" s="3"/>
      <c r="I60" s="3"/>
      <c r="J60" s="3"/>
      <c r="K60" s="3"/>
      <c r="L60" s="3"/>
      <c r="M60" s="3"/>
      <c r="N60" s="3"/>
      <c r="O60" s="3"/>
      <c r="P60" s="3"/>
      <c r="Q60" s="3"/>
      <c r="R60" s="3"/>
      <c r="S60" s="3"/>
      <c r="T60" s="3"/>
      <c r="U60" s="3"/>
      <c r="V60" s="3"/>
      <c r="W60" s="3"/>
      <c r="X60" s="3"/>
      <c r="Y60" s="3"/>
      <c r="Z60" s="3"/>
    </row>
    <row r="61" ht="12.75" customHeight="1">
      <c r="A61" s="3"/>
      <c r="B61" s="4"/>
      <c r="C61" s="6"/>
      <c r="D61" s="6"/>
      <c r="E61" s="6"/>
      <c r="F61" s="6"/>
      <c r="G61" s="3"/>
      <c r="H61" s="3"/>
      <c r="I61" s="3"/>
      <c r="J61" s="3"/>
      <c r="K61" s="3"/>
      <c r="L61" s="3"/>
      <c r="M61" s="3"/>
      <c r="N61" s="3"/>
      <c r="O61" s="3"/>
      <c r="P61" s="3"/>
      <c r="Q61" s="3"/>
      <c r="R61" s="3"/>
      <c r="S61" s="3"/>
      <c r="T61" s="3"/>
      <c r="U61" s="3"/>
      <c r="V61" s="3"/>
      <c r="W61" s="3"/>
      <c r="X61" s="3"/>
      <c r="Y61" s="3"/>
      <c r="Z61" s="3"/>
    </row>
    <row r="62" ht="12.75" customHeight="1">
      <c r="A62" s="3"/>
      <c r="B62" s="4"/>
      <c r="C62" s="6"/>
      <c r="D62" s="6"/>
      <c r="E62" s="6"/>
      <c r="F62" s="6"/>
      <c r="G62" s="3"/>
      <c r="H62" s="3"/>
      <c r="I62" s="3"/>
      <c r="J62" s="3"/>
      <c r="K62" s="3"/>
      <c r="L62" s="3"/>
      <c r="M62" s="3"/>
      <c r="N62" s="3"/>
      <c r="O62" s="3"/>
      <c r="P62" s="3"/>
      <c r="Q62" s="3"/>
      <c r="R62" s="3"/>
      <c r="S62" s="3"/>
      <c r="T62" s="3"/>
      <c r="U62" s="3"/>
      <c r="V62" s="3"/>
      <c r="W62" s="3"/>
      <c r="X62" s="3"/>
      <c r="Y62" s="3"/>
      <c r="Z62" s="3"/>
    </row>
    <row r="63" ht="12.75" customHeight="1">
      <c r="A63" s="3"/>
      <c r="B63" s="4"/>
      <c r="C63" s="6"/>
      <c r="D63" s="6"/>
      <c r="E63" s="6"/>
      <c r="F63" s="6"/>
      <c r="G63" s="3"/>
      <c r="H63" s="3"/>
      <c r="I63" s="3"/>
      <c r="J63" s="3"/>
      <c r="K63" s="3"/>
      <c r="L63" s="3"/>
      <c r="M63" s="3"/>
      <c r="N63" s="3"/>
      <c r="O63" s="3"/>
      <c r="P63" s="3"/>
      <c r="Q63" s="3"/>
      <c r="R63" s="3"/>
      <c r="S63" s="3"/>
      <c r="T63" s="3"/>
      <c r="U63" s="3"/>
      <c r="V63" s="3"/>
      <c r="W63" s="3"/>
      <c r="X63" s="3"/>
      <c r="Y63" s="3"/>
      <c r="Z63" s="3"/>
    </row>
    <row r="64" ht="12.75" customHeight="1">
      <c r="A64" s="3"/>
      <c r="B64" s="4"/>
      <c r="C64" s="6"/>
      <c r="D64" s="6"/>
      <c r="E64" s="6"/>
      <c r="F64" s="6"/>
      <c r="G64" s="3"/>
      <c r="H64" s="3"/>
      <c r="I64" s="3"/>
      <c r="J64" s="3"/>
      <c r="K64" s="3"/>
      <c r="L64" s="3"/>
      <c r="M64" s="3"/>
      <c r="N64" s="3"/>
      <c r="O64" s="3"/>
      <c r="P64" s="3"/>
      <c r="Q64" s="3"/>
      <c r="R64" s="3"/>
      <c r="S64" s="3"/>
      <c r="T64" s="3"/>
      <c r="U64" s="3"/>
      <c r="V64" s="3"/>
      <c r="W64" s="3"/>
      <c r="X64" s="3"/>
      <c r="Y64" s="3"/>
      <c r="Z64" s="3"/>
    </row>
    <row r="65" ht="12.75" customHeight="1">
      <c r="A65" s="3"/>
      <c r="B65" s="4"/>
      <c r="C65" s="6"/>
      <c r="D65" s="6"/>
      <c r="E65" s="6"/>
      <c r="F65" s="6"/>
      <c r="G65" s="3"/>
      <c r="H65" s="3"/>
      <c r="I65" s="3"/>
      <c r="J65" s="3"/>
      <c r="K65" s="3"/>
      <c r="L65" s="3"/>
      <c r="M65" s="3"/>
      <c r="N65" s="3"/>
      <c r="O65" s="3"/>
      <c r="P65" s="3"/>
      <c r="Q65" s="3"/>
      <c r="R65" s="3"/>
      <c r="S65" s="3"/>
      <c r="T65" s="3"/>
      <c r="U65" s="3"/>
      <c r="V65" s="3"/>
      <c r="W65" s="3"/>
      <c r="X65" s="3"/>
      <c r="Y65" s="3"/>
      <c r="Z65" s="3"/>
    </row>
    <row r="66" ht="12.75" customHeight="1">
      <c r="A66" s="3"/>
      <c r="B66" s="4"/>
      <c r="C66" s="6"/>
      <c r="D66" s="6"/>
      <c r="E66" s="6"/>
      <c r="F66" s="6"/>
      <c r="G66" s="3"/>
      <c r="H66" s="3"/>
      <c r="I66" s="3"/>
      <c r="J66" s="3"/>
      <c r="K66" s="3"/>
      <c r="L66" s="3"/>
      <c r="M66" s="3"/>
      <c r="N66" s="3"/>
      <c r="O66" s="3"/>
      <c r="P66" s="3"/>
      <c r="Q66" s="3"/>
      <c r="R66" s="3"/>
      <c r="S66" s="3"/>
      <c r="T66" s="3"/>
      <c r="U66" s="3"/>
      <c r="V66" s="3"/>
      <c r="W66" s="3"/>
      <c r="X66" s="3"/>
      <c r="Y66" s="3"/>
      <c r="Z66" s="3"/>
    </row>
    <row r="67" ht="12.75" customHeight="1">
      <c r="A67" s="3"/>
      <c r="B67" s="4"/>
      <c r="C67" s="6"/>
      <c r="D67" s="6"/>
      <c r="E67" s="6"/>
      <c r="F67" s="6"/>
      <c r="G67" s="3"/>
      <c r="H67" s="3"/>
      <c r="I67" s="3"/>
      <c r="J67" s="3"/>
      <c r="K67" s="3"/>
      <c r="L67" s="3"/>
      <c r="M67" s="3"/>
      <c r="N67" s="3"/>
      <c r="O67" s="3"/>
      <c r="P67" s="3"/>
      <c r="Q67" s="3"/>
      <c r="R67" s="3"/>
      <c r="S67" s="3"/>
      <c r="T67" s="3"/>
      <c r="U67" s="3"/>
      <c r="V67" s="3"/>
      <c r="W67" s="3"/>
      <c r="X67" s="3"/>
      <c r="Y67" s="3"/>
      <c r="Z67" s="3"/>
    </row>
    <row r="68" ht="12.75" customHeight="1">
      <c r="A68" s="3"/>
      <c r="B68" s="4"/>
      <c r="C68" s="6"/>
      <c r="D68" s="6"/>
      <c r="E68" s="6"/>
      <c r="F68" s="6"/>
      <c r="G68" s="3"/>
      <c r="H68" s="3"/>
      <c r="I68" s="3"/>
      <c r="J68" s="3"/>
      <c r="K68" s="3"/>
      <c r="L68" s="3"/>
      <c r="M68" s="3"/>
      <c r="N68" s="3"/>
      <c r="O68" s="3"/>
      <c r="P68" s="3"/>
      <c r="Q68" s="3"/>
      <c r="R68" s="3"/>
      <c r="S68" s="3"/>
      <c r="T68" s="3"/>
      <c r="U68" s="3"/>
      <c r="V68" s="3"/>
      <c r="W68" s="3"/>
      <c r="X68" s="3"/>
      <c r="Y68" s="3"/>
      <c r="Z68" s="3"/>
    </row>
    <row r="69" ht="12.75" customHeight="1">
      <c r="A69" s="3"/>
      <c r="B69" s="4"/>
      <c r="C69" s="6"/>
      <c r="D69" s="6"/>
      <c r="E69" s="6"/>
      <c r="F69" s="6"/>
      <c r="G69" s="3"/>
      <c r="H69" s="3"/>
      <c r="I69" s="3"/>
      <c r="J69" s="3"/>
      <c r="K69" s="3"/>
      <c r="L69" s="3"/>
      <c r="M69" s="3"/>
      <c r="N69" s="3"/>
      <c r="O69" s="3"/>
      <c r="P69" s="3"/>
      <c r="Q69" s="3"/>
      <c r="R69" s="3"/>
      <c r="S69" s="3"/>
      <c r="T69" s="3"/>
      <c r="U69" s="3"/>
      <c r="V69" s="3"/>
      <c r="W69" s="3"/>
      <c r="X69" s="3"/>
      <c r="Y69" s="3"/>
      <c r="Z69" s="3"/>
    </row>
    <row r="70" ht="12.75" customHeight="1">
      <c r="A70" s="3"/>
      <c r="B70" s="4"/>
      <c r="C70" s="6"/>
      <c r="D70" s="6"/>
      <c r="E70" s="6"/>
      <c r="F70" s="6"/>
      <c r="G70" s="3"/>
      <c r="H70" s="3"/>
      <c r="I70" s="3"/>
      <c r="J70" s="3"/>
      <c r="K70" s="3"/>
      <c r="L70" s="3"/>
      <c r="M70" s="3"/>
      <c r="N70" s="3"/>
      <c r="O70" s="3"/>
      <c r="P70" s="3"/>
      <c r="Q70" s="3"/>
      <c r="R70" s="3"/>
      <c r="S70" s="3"/>
      <c r="T70" s="3"/>
      <c r="U70" s="3"/>
      <c r="V70" s="3"/>
      <c r="W70" s="3"/>
      <c r="X70" s="3"/>
      <c r="Y70" s="3"/>
      <c r="Z70" s="3"/>
    </row>
    <row r="71" ht="12.75" customHeight="1">
      <c r="A71" s="3"/>
      <c r="B71" s="4"/>
      <c r="C71" s="6"/>
      <c r="D71" s="6"/>
      <c r="E71" s="6"/>
      <c r="F71" s="6"/>
      <c r="G71" s="3"/>
      <c r="H71" s="3"/>
      <c r="I71" s="3"/>
      <c r="J71" s="3"/>
      <c r="K71" s="3"/>
      <c r="L71" s="3"/>
      <c r="M71" s="3"/>
      <c r="N71" s="3"/>
      <c r="O71" s="3"/>
      <c r="P71" s="3"/>
      <c r="Q71" s="3"/>
      <c r="R71" s="3"/>
      <c r="S71" s="3"/>
      <c r="T71" s="3"/>
      <c r="U71" s="3"/>
      <c r="V71" s="3"/>
      <c r="W71" s="3"/>
      <c r="X71" s="3"/>
      <c r="Y71" s="3"/>
      <c r="Z71" s="3"/>
    </row>
    <row r="72" ht="12.75" customHeight="1">
      <c r="A72" s="3"/>
      <c r="B72" s="4"/>
      <c r="C72" s="6"/>
      <c r="D72" s="6"/>
      <c r="E72" s="6"/>
      <c r="F72" s="6"/>
      <c r="G72" s="3"/>
      <c r="H72" s="3"/>
      <c r="I72" s="3"/>
      <c r="J72" s="3"/>
      <c r="K72" s="3"/>
      <c r="L72" s="3"/>
      <c r="M72" s="3"/>
      <c r="N72" s="3"/>
      <c r="O72" s="3"/>
      <c r="P72" s="3"/>
      <c r="Q72" s="3"/>
      <c r="R72" s="3"/>
      <c r="S72" s="3"/>
      <c r="T72" s="3"/>
      <c r="U72" s="3"/>
      <c r="V72" s="3"/>
      <c r="W72" s="3"/>
      <c r="X72" s="3"/>
      <c r="Y72" s="3"/>
      <c r="Z72" s="3"/>
    </row>
    <row r="73" ht="12.75" customHeight="1">
      <c r="A73" s="3"/>
      <c r="B73" s="4"/>
      <c r="C73" s="6"/>
      <c r="D73" s="6"/>
      <c r="E73" s="6"/>
      <c r="F73" s="6"/>
      <c r="G73" s="3"/>
      <c r="H73" s="3"/>
      <c r="I73" s="3"/>
      <c r="J73" s="3"/>
      <c r="K73" s="3"/>
      <c r="L73" s="3"/>
      <c r="M73" s="3"/>
      <c r="N73" s="3"/>
      <c r="O73" s="3"/>
      <c r="P73" s="3"/>
      <c r="Q73" s="3"/>
      <c r="R73" s="3"/>
      <c r="S73" s="3"/>
      <c r="T73" s="3"/>
      <c r="U73" s="3"/>
      <c r="V73" s="3"/>
      <c r="W73" s="3"/>
      <c r="X73" s="3"/>
      <c r="Y73" s="3"/>
      <c r="Z73" s="3"/>
    </row>
    <row r="74" ht="12.75" customHeight="1">
      <c r="A74" s="3"/>
      <c r="B74" s="4"/>
      <c r="C74" s="6"/>
      <c r="D74" s="6"/>
      <c r="E74" s="6"/>
      <c r="F74" s="6"/>
      <c r="G74" s="3"/>
      <c r="H74" s="3"/>
      <c r="I74" s="3"/>
      <c r="J74" s="3"/>
      <c r="K74" s="3"/>
      <c r="L74" s="3"/>
      <c r="M74" s="3"/>
      <c r="N74" s="3"/>
      <c r="O74" s="3"/>
      <c r="P74" s="3"/>
      <c r="Q74" s="3"/>
      <c r="R74" s="3"/>
      <c r="S74" s="3"/>
      <c r="T74" s="3"/>
      <c r="U74" s="3"/>
      <c r="V74" s="3"/>
      <c r="W74" s="3"/>
      <c r="X74" s="3"/>
      <c r="Y74" s="3"/>
      <c r="Z74" s="3"/>
    </row>
    <row r="75" ht="12.75" customHeight="1">
      <c r="A75" s="3"/>
      <c r="B75" s="4"/>
      <c r="C75" s="6"/>
      <c r="D75" s="6"/>
      <c r="E75" s="6"/>
      <c r="F75" s="6"/>
      <c r="G75" s="3"/>
      <c r="H75" s="3"/>
      <c r="I75" s="3"/>
      <c r="J75" s="3"/>
      <c r="K75" s="3"/>
      <c r="L75" s="3"/>
      <c r="M75" s="3"/>
      <c r="N75" s="3"/>
      <c r="O75" s="3"/>
      <c r="P75" s="3"/>
      <c r="Q75" s="3"/>
      <c r="R75" s="3"/>
      <c r="S75" s="3"/>
      <c r="T75" s="3"/>
      <c r="U75" s="3"/>
      <c r="V75" s="3"/>
      <c r="W75" s="3"/>
      <c r="X75" s="3"/>
      <c r="Y75" s="3"/>
      <c r="Z75" s="3"/>
    </row>
    <row r="76" ht="12.75" customHeight="1">
      <c r="A76" s="3"/>
      <c r="B76" s="4"/>
      <c r="C76" s="6"/>
      <c r="D76" s="6"/>
      <c r="E76" s="6"/>
      <c r="F76" s="6"/>
      <c r="G76" s="3"/>
      <c r="H76" s="3"/>
      <c r="I76" s="3"/>
      <c r="J76" s="3"/>
      <c r="K76" s="3"/>
      <c r="L76" s="3"/>
      <c r="M76" s="3"/>
      <c r="N76" s="3"/>
      <c r="O76" s="3"/>
      <c r="P76" s="3"/>
      <c r="Q76" s="3"/>
      <c r="R76" s="3"/>
      <c r="S76" s="3"/>
      <c r="T76" s="3"/>
      <c r="U76" s="3"/>
      <c r="V76" s="3"/>
      <c r="W76" s="3"/>
      <c r="X76" s="3"/>
      <c r="Y76" s="3"/>
      <c r="Z76" s="3"/>
    </row>
    <row r="77" ht="12.75" customHeight="1">
      <c r="A77" s="3"/>
      <c r="B77" s="4"/>
      <c r="C77" s="6"/>
      <c r="D77" s="6"/>
      <c r="E77" s="6"/>
      <c r="F77" s="6"/>
      <c r="G77" s="3"/>
      <c r="H77" s="3"/>
      <c r="I77" s="3"/>
      <c r="J77" s="3"/>
      <c r="K77" s="3"/>
      <c r="L77" s="3"/>
      <c r="M77" s="3"/>
      <c r="N77" s="3"/>
      <c r="O77" s="3"/>
      <c r="P77" s="3"/>
      <c r="Q77" s="3"/>
      <c r="R77" s="3"/>
      <c r="S77" s="3"/>
      <c r="T77" s="3"/>
      <c r="U77" s="3"/>
      <c r="V77" s="3"/>
      <c r="W77" s="3"/>
      <c r="X77" s="3"/>
      <c r="Y77" s="3"/>
      <c r="Z77" s="3"/>
    </row>
    <row r="78" ht="12.75" customHeight="1">
      <c r="A78" s="3"/>
      <c r="B78" s="4"/>
      <c r="C78" s="6"/>
      <c r="D78" s="6"/>
      <c r="E78" s="6"/>
      <c r="F78" s="6"/>
      <c r="G78" s="3"/>
      <c r="H78" s="3"/>
      <c r="I78" s="3"/>
      <c r="J78" s="3"/>
      <c r="K78" s="3"/>
      <c r="L78" s="3"/>
      <c r="M78" s="3"/>
      <c r="N78" s="3"/>
      <c r="O78" s="3"/>
      <c r="P78" s="3"/>
      <c r="Q78" s="3"/>
      <c r="R78" s="3"/>
      <c r="S78" s="3"/>
      <c r="T78" s="3"/>
      <c r="U78" s="3"/>
      <c r="V78" s="3"/>
      <c r="W78" s="3"/>
      <c r="X78" s="3"/>
      <c r="Y78" s="3"/>
      <c r="Z78" s="3"/>
    </row>
    <row r="79" ht="12.75" customHeight="1">
      <c r="A79" s="3"/>
      <c r="B79" s="4"/>
      <c r="C79" s="6"/>
      <c r="D79" s="6"/>
      <c r="E79" s="6"/>
      <c r="F79" s="6"/>
      <c r="G79" s="3"/>
      <c r="H79" s="3"/>
      <c r="I79" s="3"/>
      <c r="J79" s="3"/>
      <c r="K79" s="3"/>
      <c r="L79" s="3"/>
      <c r="M79" s="3"/>
      <c r="N79" s="3"/>
      <c r="O79" s="3"/>
      <c r="P79" s="3"/>
      <c r="Q79" s="3"/>
      <c r="R79" s="3"/>
      <c r="S79" s="3"/>
      <c r="T79" s="3"/>
      <c r="U79" s="3"/>
      <c r="V79" s="3"/>
      <c r="W79" s="3"/>
      <c r="X79" s="3"/>
      <c r="Y79" s="3"/>
      <c r="Z79" s="3"/>
    </row>
    <row r="80" ht="12.75" customHeight="1">
      <c r="A80" s="3"/>
      <c r="B80" s="4"/>
      <c r="C80" s="6"/>
      <c r="D80" s="6"/>
      <c r="E80" s="6"/>
      <c r="F80" s="6"/>
      <c r="G80" s="3"/>
      <c r="H80" s="3"/>
      <c r="I80" s="3"/>
      <c r="J80" s="3"/>
      <c r="K80" s="3"/>
      <c r="L80" s="3"/>
      <c r="M80" s="3"/>
      <c r="N80" s="3"/>
      <c r="O80" s="3"/>
      <c r="P80" s="3"/>
      <c r="Q80" s="3"/>
      <c r="R80" s="3"/>
      <c r="S80" s="3"/>
      <c r="T80" s="3"/>
      <c r="U80" s="3"/>
      <c r="V80" s="3"/>
      <c r="W80" s="3"/>
      <c r="X80" s="3"/>
      <c r="Y80" s="3"/>
      <c r="Z80" s="3"/>
    </row>
    <row r="81" ht="12.75" customHeight="1">
      <c r="A81" s="3"/>
      <c r="B81" s="4"/>
      <c r="C81" s="6"/>
      <c r="D81" s="6"/>
      <c r="E81" s="6"/>
      <c r="F81" s="6"/>
      <c r="G81" s="3"/>
      <c r="H81" s="3"/>
      <c r="I81" s="3"/>
      <c r="J81" s="3"/>
      <c r="K81" s="3"/>
      <c r="L81" s="3"/>
      <c r="M81" s="3"/>
      <c r="N81" s="3"/>
      <c r="O81" s="3"/>
      <c r="P81" s="3"/>
      <c r="Q81" s="3"/>
      <c r="R81" s="3"/>
      <c r="S81" s="3"/>
      <c r="T81" s="3"/>
      <c r="U81" s="3"/>
      <c r="V81" s="3"/>
      <c r="W81" s="3"/>
      <c r="X81" s="3"/>
      <c r="Y81" s="3"/>
      <c r="Z81" s="3"/>
    </row>
    <row r="82" ht="12.75" customHeight="1">
      <c r="A82" s="3"/>
      <c r="B82" s="4"/>
      <c r="C82" s="6"/>
      <c r="D82" s="6"/>
      <c r="E82" s="6"/>
      <c r="F82" s="6"/>
      <c r="G82" s="3"/>
      <c r="H82" s="3"/>
      <c r="I82" s="3"/>
      <c r="J82" s="3"/>
      <c r="K82" s="3"/>
      <c r="L82" s="3"/>
      <c r="M82" s="3"/>
      <c r="N82" s="3"/>
      <c r="O82" s="3"/>
      <c r="P82" s="3"/>
      <c r="Q82" s="3"/>
      <c r="R82" s="3"/>
      <c r="S82" s="3"/>
      <c r="T82" s="3"/>
      <c r="U82" s="3"/>
      <c r="V82" s="3"/>
      <c r="W82" s="3"/>
      <c r="X82" s="3"/>
      <c r="Y82" s="3"/>
      <c r="Z82" s="3"/>
    </row>
    <row r="83" ht="12.75" customHeight="1">
      <c r="A83" s="3"/>
      <c r="B83" s="4"/>
      <c r="C83" s="6"/>
      <c r="D83" s="6"/>
      <c r="E83" s="6"/>
      <c r="F83" s="6"/>
      <c r="G83" s="3"/>
      <c r="H83" s="3"/>
      <c r="I83" s="3"/>
      <c r="J83" s="3"/>
      <c r="K83" s="3"/>
      <c r="L83" s="3"/>
      <c r="M83" s="3"/>
      <c r="N83" s="3"/>
      <c r="O83" s="3"/>
      <c r="P83" s="3"/>
      <c r="Q83" s="3"/>
      <c r="R83" s="3"/>
      <c r="S83" s="3"/>
      <c r="T83" s="3"/>
      <c r="U83" s="3"/>
      <c r="V83" s="3"/>
      <c r="W83" s="3"/>
      <c r="X83" s="3"/>
      <c r="Y83" s="3"/>
      <c r="Z83" s="3"/>
    </row>
    <row r="84" ht="12.75" customHeight="1">
      <c r="A84" s="3"/>
      <c r="B84" s="4"/>
      <c r="C84" s="6"/>
      <c r="D84" s="6"/>
      <c r="E84" s="6"/>
      <c r="F84" s="6"/>
      <c r="G84" s="3"/>
      <c r="H84" s="3"/>
      <c r="I84" s="3"/>
      <c r="J84" s="3"/>
      <c r="K84" s="3"/>
      <c r="L84" s="3"/>
      <c r="M84" s="3"/>
      <c r="N84" s="3"/>
      <c r="O84" s="3"/>
      <c r="P84" s="3"/>
      <c r="Q84" s="3"/>
      <c r="R84" s="3"/>
      <c r="S84" s="3"/>
      <c r="T84" s="3"/>
      <c r="U84" s="3"/>
      <c r="V84" s="3"/>
      <c r="W84" s="3"/>
      <c r="X84" s="3"/>
      <c r="Y84" s="3"/>
      <c r="Z84" s="3"/>
    </row>
    <row r="85" ht="12.75" customHeight="1">
      <c r="A85" s="3"/>
      <c r="B85" s="4"/>
      <c r="C85" s="6"/>
      <c r="D85" s="6"/>
      <c r="E85" s="6"/>
      <c r="F85" s="6"/>
      <c r="G85" s="3"/>
      <c r="H85" s="3"/>
      <c r="I85" s="3"/>
      <c r="J85" s="3"/>
      <c r="K85" s="3"/>
      <c r="L85" s="3"/>
      <c r="M85" s="3"/>
      <c r="N85" s="3"/>
      <c r="O85" s="3"/>
      <c r="P85" s="3"/>
      <c r="Q85" s="3"/>
      <c r="R85" s="3"/>
      <c r="S85" s="3"/>
      <c r="T85" s="3"/>
      <c r="U85" s="3"/>
      <c r="V85" s="3"/>
      <c r="W85" s="3"/>
      <c r="X85" s="3"/>
      <c r="Y85" s="3"/>
      <c r="Z85" s="3"/>
    </row>
    <row r="86" ht="12.75" customHeight="1">
      <c r="A86" s="3"/>
      <c r="B86" s="4"/>
      <c r="C86" s="6"/>
      <c r="D86" s="6"/>
      <c r="E86" s="6"/>
      <c r="F86" s="6"/>
      <c r="G86" s="3"/>
      <c r="H86" s="3"/>
      <c r="I86" s="3"/>
      <c r="J86" s="3"/>
      <c r="K86" s="3"/>
      <c r="L86" s="3"/>
      <c r="M86" s="3"/>
      <c r="N86" s="3"/>
      <c r="O86" s="3"/>
      <c r="P86" s="3"/>
      <c r="Q86" s="3"/>
      <c r="R86" s="3"/>
      <c r="S86" s="3"/>
      <c r="T86" s="3"/>
      <c r="U86" s="3"/>
      <c r="V86" s="3"/>
      <c r="W86" s="3"/>
      <c r="X86" s="3"/>
      <c r="Y86" s="3"/>
      <c r="Z86" s="3"/>
    </row>
    <row r="87" ht="12.75" customHeight="1">
      <c r="A87" s="3"/>
      <c r="B87" s="4"/>
      <c r="C87" s="6"/>
      <c r="D87" s="6"/>
      <c r="E87" s="6"/>
      <c r="F87" s="6"/>
      <c r="G87" s="3"/>
      <c r="H87" s="3"/>
      <c r="I87" s="3"/>
      <c r="J87" s="3"/>
      <c r="K87" s="3"/>
      <c r="L87" s="3"/>
      <c r="M87" s="3"/>
      <c r="N87" s="3"/>
      <c r="O87" s="3"/>
      <c r="P87" s="3"/>
      <c r="Q87" s="3"/>
      <c r="R87" s="3"/>
      <c r="S87" s="3"/>
      <c r="T87" s="3"/>
      <c r="U87" s="3"/>
      <c r="V87" s="3"/>
      <c r="W87" s="3"/>
      <c r="X87" s="3"/>
      <c r="Y87" s="3"/>
      <c r="Z87" s="3"/>
    </row>
    <row r="88" ht="12.75" customHeight="1">
      <c r="A88" s="3"/>
      <c r="B88" s="4"/>
      <c r="C88" s="6"/>
      <c r="D88" s="6"/>
      <c r="E88" s="6"/>
      <c r="F88" s="6"/>
      <c r="G88" s="3"/>
      <c r="H88" s="3"/>
      <c r="I88" s="3"/>
      <c r="J88" s="3"/>
      <c r="K88" s="3"/>
      <c r="L88" s="3"/>
      <c r="M88" s="3"/>
      <c r="N88" s="3"/>
      <c r="O88" s="3"/>
      <c r="P88" s="3"/>
      <c r="Q88" s="3"/>
      <c r="R88" s="3"/>
      <c r="S88" s="3"/>
      <c r="T88" s="3"/>
      <c r="U88" s="3"/>
      <c r="V88" s="3"/>
      <c r="W88" s="3"/>
      <c r="X88" s="3"/>
      <c r="Y88" s="3"/>
      <c r="Z88" s="3"/>
    </row>
    <row r="89" ht="12.75" customHeight="1">
      <c r="A89" s="3"/>
      <c r="B89" s="4"/>
      <c r="C89" s="6"/>
      <c r="D89" s="6"/>
      <c r="E89" s="6"/>
      <c r="F89" s="6"/>
      <c r="G89" s="3"/>
      <c r="H89" s="3"/>
      <c r="I89" s="3"/>
      <c r="J89" s="3"/>
      <c r="K89" s="3"/>
      <c r="L89" s="3"/>
      <c r="M89" s="3"/>
      <c r="N89" s="3"/>
      <c r="O89" s="3"/>
      <c r="P89" s="3"/>
      <c r="Q89" s="3"/>
      <c r="R89" s="3"/>
      <c r="S89" s="3"/>
      <c r="T89" s="3"/>
      <c r="U89" s="3"/>
      <c r="V89" s="3"/>
      <c r="W89" s="3"/>
      <c r="X89" s="3"/>
      <c r="Y89" s="3"/>
      <c r="Z89" s="3"/>
    </row>
    <row r="90" ht="12.75" customHeight="1">
      <c r="A90" s="3"/>
      <c r="B90" s="4"/>
      <c r="C90" s="6"/>
      <c r="D90" s="6"/>
      <c r="E90" s="6"/>
      <c r="F90" s="6"/>
      <c r="G90" s="3"/>
      <c r="H90" s="3"/>
      <c r="I90" s="3"/>
      <c r="J90" s="3"/>
      <c r="K90" s="3"/>
      <c r="L90" s="3"/>
      <c r="M90" s="3"/>
      <c r="N90" s="3"/>
      <c r="O90" s="3"/>
      <c r="P90" s="3"/>
      <c r="Q90" s="3"/>
      <c r="R90" s="3"/>
      <c r="S90" s="3"/>
      <c r="T90" s="3"/>
      <c r="U90" s="3"/>
      <c r="V90" s="3"/>
      <c r="W90" s="3"/>
      <c r="X90" s="3"/>
      <c r="Y90" s="3"/>
      <c r="Z90" s="3"/>
    </row>
    <row r="91" ht="12.75" customHeight="1">
      <c r="A91" s="3"/>
      <c r="B91" s="4"/>
      <c r="C91" s="6"/>
      <c r="D91" s="6"/>
      <c r="E91" s="6"/>
      <c r="F91" s="6"/>
      <c r="G91" s="3"/>
      <c r="H91" s="3"/>
      <c r="I91" s="3"/>
      <c r="J91" s="3"/>
      <c r="K91" s="3"/>
      <c r="L91" s="3"/>
      <c r="M91" s="3"/>
      <c r="N91" s="3"/>
      <c r="O91" s="3"/>
      <c r="P91" s="3"/>
      <c r="Q91" s="3"/>
      <c r="R91" s="3"/>
      <c r="S91" s="3"/>
      <c r="T91" s="3"/>
      <c r="U91" s="3"/>
      <c r="V91" s="3"/>
      <c r="W91" s="3"/>
      <c r="X91" s="3"/>
      <c r="Y91" s="3"/>
      <c r="Z91" s="3"/>
    </row>
    <row r="92" ht="12.75" customHeight="1">
      <c r="A92" s="3"/>
      <c r="B92" s="4"/>
      <c r="C92" s="6"/>
      <c r="D92" s="6"/>
      <c r="E92" s="6"/>
      <c r="F92" s="6"/>
      <c r="G92" s="3"/>
      <c r="H92" s="3"/>
      <c r="I92" s="3"/>
      <c r="J92" s="3"/>
      <c r="K92" s="3"/>
      <c r="L92" s="3"/>
      <c r="M92" s="3"/>
      <c r="N92" s="3"/>
      <c r="O92" s="3"/>
      <c r="P92" s="3"/>
      <c r="Q92" s="3"/>
      <c r="R92" s="3"/>
      <c r="S92" s="3"/>
      <c r="T92" s="3"/>
      <c r="U92" s="3"/>
      <c r="V92" s="3"/>
      <c r="W92" s="3"/>
      <c r="X92" s="3"/>
      <c r="Y92" s="3"/>
      <c r="Z92" s="3"/>
    </row>
    <row r="93" ht="12.75" customHeight="1">
      <c r="A93" s="3"/>
      <c r="B93" s="4"/>
      <c r="C93" s="6"/>
      <c r="D93" s="6"/>
      <c r="E93" s="6"/>
      <c r="F93" s="6"/>
      <c r="G93" s="3"/>
      <c r="H93" s="3"/>
      <c r="I93" s="3"/>
      <c r="J93" s="3"/>
      <c r="K93" s="3"/>
      <c r="L93" s="3"/>
      <c r="M93" s="3"/>
      <c r="N93" s="3"/>
      <c r="O93" s="3"/>
      <c r="P93" s="3"/>
      <c r="Q93" s="3"/>
      <c r="R93" s="3"/>
      <c r="S93" s="3"/>
      <c r="T93" s="3"/>
      <c r="U93" s="3"/>
      <c r="V93" s="3"/>
      <c r="W93" s="3"/>
      <c r="X93" s="3"/>
      <c r="Y93" s="3"/>
      <c r="Z93" s="3"/>
    </row>
    <row r="94" ht="12.75" customHeight="1">
      <c r="A94" s="3"/>
      <c r="B94" s="4"/>
      <c r="C94" s="6"/>
      <c r="D94" s="6"/>
      <c r="E94" s="6"/>
      <c r="F94" s="6"/>
      <c r="G94" s="3"/>
      <c r="H94" s="3"/>
      <c r="I94" s="3"/>
      <c r="J94" s="3"/>
      <c r="K94" s="3"/>
      <c r="L94" s="3"/>
      <c r="M94" s="3"/>
      <c r="N94" s="3"/>
      <c r="O94" s="3"/>
      <c r="P94" s="3"/>
      <c r="Q94" s="3"/>
      <c r="R94" s="3"/>
      <c r="S94" s="3"/>
      <c r="T94" s="3"/>
      <c r="U94" s="3"/>
      <c r="V94" s="3"/>
      <c r="W94" s="3"/>
      <c r="X94" s="3"/>
      <c r="Y94" s="3"/>
      <c r="Z94" s="3"/>
    </row>
    <row r="95" ht="12.75" customHeight="1">
      <c r="A95" s="3"/>
      <c r="B95" s="4"/>
      <c r="C95" s="6"/>
      <c r="D95" s="6"/>
      <c r="E95" s="6"/>
      <c r="F95" s="6"/>
      <c r="G95" s="3"/>
      <c r="H95" s="3"/>
      <c r="I95" s="3"/>
      <c r="J95" s="3"/>
      <c r="K95" s="3"/>
      <c r="L95" s="3"/>
      <c r="M95" s="3"/>
      <c r="N95" s="3"/>
      <c r="O95" s="3"/>
      <c r="P95" s="3"/>
      <c r="Q95" s="3"/>
      <c r="R95" s="3"/>
      <c r="S95" s="3"/>
      <c r="T95" s="3"/>
      <c r="U95" s="3"/>
      <c r="V95" s="3"/>
      <c r="W95" s="3"/>
      <c r="X95" s="3"/>
      <c r="Y95" s="3"/>
      <c r="Z95" s="3"/>
    </row>
    <row r="96" ht="12.75" customHeight="1">
      <c r="A96" s="3"/>
      <c r="B96" s="4"/>
      <c r="C96" s="6"/>
      <c r="D96" s="6"/>
      <c r="E96" s="6"/>
      <c r="F96" s="6"/>
      <c r="G96" s="3"/>
      <c r="H96" s="3"/>
      <c r="I96" s="3"/>
      <c r="J96" s="3"/>
      <c r="K96" s="3"/>
      <c r="L96" s="3"/>
      <c r="M96" s="3"/>
      <c r="N96" s="3"/>
      <c r="O96" s="3"/>
      <c r="P96" s="3"/>
      <c r="Q96" s="3"/>
      <c r="R96" s="3"/>
      <c r="S96" s="3"/>
      <c r="T96" s="3"/>
      <c r="U96" s="3"/>
      <c r="V96" s="3"/>
      <c r="W96" s="3"/>
      <c r="X96" s="3"/>
      <c r="Y96" s="3"/>
      <c r="Z96" s="3"/>
    </row>
    <row r="97" ht="12.75" customHeight="1">
      <c r="A97" s="3"/>
      <c r="B97" s="4"/>
      <c r="C97" s="6"/>
      <c r="D97" s="6"/>
      <c r="E97" s="6"/>
      <c r="F97" s="6"/>
      <c r="G97" s="3"/>
      <c r="H97" s="3"/>
      <c r="I97" s="3"/>
      <c r="J97" s="3"/>
      <c r="K97" s="3"/>
      <c r="L97" s="3"/>
      <c r="M97" s="3"/>
      <c r="N97" s="3"/>
      <c r="O97" s="3"/>
      <c r="P97" s="3"/>
      <c r="Q97" s="3"/>
      <c r="R97" s="3"/>
      <c r="S97" s="3"/>
      <c r="T97" s="3"/>
      <c r="U97" s="3"/>
      <c r="V97" s="3"/>
      <c r="W97" s="3"/>
      <c r="X97" s="3"/>
      <c r="Y97" s="3"/>
      <c r="Z97" s="3"/>
    </row>
    <row r="98" ht="12.75" customHeight="1">
      <c r="A98" s="3"/>
      <c r="B98" s="4"/>
      <c r="C98" s="6"/>
      <c r="D98" s="6"/>
      <c r="E98" s="6"/>
      <c r="F98" s="6"/>
      <c r="G98" s="3"/>
      <c r="H98" s="3"/>
      <c r="I98" s="3"/>
      <c r="J98" s="3"/>
      <c r="K98" s="3"/>
      <c r="L98" s="3"/>
      <c r="M98" s="3"/>
      <c r="N98" s="3"/>
      <c r="O98" s="3"/>
      <c r="P98" s="3"/>
      <c r="Q98" s="3"/>
      <c r="R98" s="3"/>
      <c r="S98" s="3"/>
      <c r="T98" s="3"/>
      <c r="U98" s="3"/>
      <c r="V98" s="3"/>
      <c r="W98" s="3"/>
      <c r="X98" s="3"/>
      <c r="Y98" s="3"/>
      <c r="Z98" s="3"/>
    </row>
    <row r="99" ht="12.75" customHeight="1">
      <c r="A99" s="3"/>
      <c r="B99" s="4"/>
      <c r="C99" s="6"/>
      <c r="D99" s="6"/>
      <c r="E99" s="6"/>
      <c r="F99" s="6"/>
      <c r="G99" s="3"/>
      <c r="H99" s="3"/>
      <c r="I99" s="3"/>
      <c r="J99" s="3"/>
      <c r="K99" s="3"/>
      <c r="L99" s="3"/>
      <c r="M99" s="3"/>
      <c r="N99" s="3"/>
      <c r="O99" s="3"/>
      <c r="P99" s="3"/>
      <c r="Q99" s="3"/>
      <c r="R99" s="3"/>
      <c r="S99" s="3"/>
      <c r="T99" s="3"/>
      <c r="U99" s="3"/>
      <c r="V99" s="3"/>
      <c r="W99" s="3"/>
      <c r="X99" s="3"/>
      <c r="Y99" s="3"/>
      <c r="Z99" s="3"/>
    </row>
    <row r="100" ht="12.75" customHeight="1">
      <c r="A100" s="3"/>
      <c r="B100" s="4"/>
      <c r="C100" s="6"/>
      <c r="D100" s="6"/>
      <c r="E100" s="6"/>
      <c r="F100" s="6"/>
      <c r="G100" s="3"/>
      <c r="H100" s="3"/>
      <c r="I100" s="3"/>
      <c r="J100" s="3"/>
      <c r="K100" s="3"/>
      <c r="L100" s="3"/>
      <c r="M100" s="3"/>
      <c r="N100" s="3"/>
      <c r="O100" s="3"/>
      <c r="P100" s="3"/>
      <c r="Q100" s="3"/>
      <c r="R100" s="3"/>
      <c r="S100" s="3"/>
      <c r="T100" s="3"/>
      <c r="U100" s="3"/>
      <c r="V100" s="3"/>
      <c r="W100" s="3"/>
      <c r="X100" s="3"/>
      <c r="Y100" s="3"/>
      <c r="Z100" s="3"/>
    </row>
    <row r="101" ht="12.75" customHeight="1">
      <c r="A101" s="3"/>
      <c r="B101" s="4"/>
      <c r="C101" s="6"/>
      <c r="D101" s="6"/>
      <c r="E101" s="6"/>
      <c r="F101" s="6"/>
      <c r="G101" s="3"/>
      <c r="H101" s="3"/>
      <c r="I101" s="3"/>
      <c r="J101" s="3"/>
      <c r="K101" s="3"/>
      <c r="L101" s="3"/>
      <c r="M101" s="3"/>
      <c r="N101" s="3"/>
      <c r="O101" s="3"/>
      <c r="P101" s="3"/>
      <c r="Q101" s="3"/>
      <c r="R101" s="3"/>
      <c r="S101" s="3"/>
      <c r="T101" s="3"/>
      <c r="U101" s="3"/>
      <c r="V101" s="3"/>
      <c r="W101" s="3"/>
      <c r="X101" s="3"/>
      <c r="Y101" s="3"/>
      <c r="Z101" s="3"/>
    </row>
    <row r="102" ht="12.75" customHeight="1">
      <c r="A102" s="3"/>
      <c r="B102" s="4"/>
      <c r="C102" s="6"/>
      <c r="D102" s="6"/>
      <c r="E102" s="6"/>
      <c r="F102" s="6"/>
      <c r="G102" s="3"/>
      <c r="H102" s="3"/>
      <c r="I102" s="3"/>
      <c r="J102" s="3"/>
      <c r="K102" s="3"/>
      <c r="L102" s="3"/>
      <c r="M102" s="3"/>
      <c r="N102" s="3"/>
      <c r="O102" s="3"/>
      <c r="P102" s="3"/>
      <c r="Q102" s="3"/>
      <c r="R102" s="3"/>
      <c r="S102" s="3"/>
      <c r="T102" s="3"/>
      <c r="U102" s="3"/>
      <c r="V102" s="3"/>
      <c r="W102" s="3"/>
      <c r="X102" s="3"/>
      <c r="Y102" s="3"/>
      <c r="Z102" s="3"/>
    </row>
    <row r="103" ht="12.75" customHeight="1">
      <c r="A103" s="3"/>
      <c r="B103" s="4"/>
      <c r="C103" s="6"/>
      <c r="D103" s="6"/>
      <c r="E103" s="6"/>
      <c r="F103" s="6"/>
      <c r="G103" s="3"/>
      <c r="H103" s="3"/>
      <c r="I103" s="3"/>
      <c r="J103" s="3"/>
      <c r="K103" s="3"/>
      <c r="L103" s="3"/>
      <c r="M103" s="3"/>
      <c r="N103" s="3"/>
      <c r="O103" s="3"/>
      <c r="P103" s="3"/>
      <c r="Q103" s="3"/>
      <c r="R103" s="3"/>
      <c r="S103" s="3"/>
      <c r="T103" s="3"/>
      <c r="U103" s="3"/>
      <c r="V103" s="3"/>
      <c r="W103" s="3"/>
      <c r="X103" s="3"/>
      <c r="Y103" s="3"/>
      <c r="Z103" s="3"/>
    </row>
    <row r="104" ht="12.75" customHeight="1">
      <c r="A104" s="3"/>
      <c r="B104" s="4"/>
      <c r="C104" s="6"/>
      <c r="D104" s="6"/>
      <c r="E104" s="6"/>
      <c r="F104" s="6"/>
      <c r="G104" s="3"/>
      <c r="H104" s="3"/>
      <c r="I104" s="3"/>
      <c r="J104" s="3"/>
      <c r="K104" s="3"/>
      <c r="L104" s="3"/>
      <c r="M104" s="3"/>
      <c r="N104" s="3"/>
      <c r="O104" s="3"/>
      <c r="P104" s="3"/>
      <c r="Q104" s="3"/>
      <c r="R104" s="3"/>
      <c r="S104" s="3"/>
      <c r="T104" s="3"/>
      <c r="U104" s="3"/>
      <c r="V104" s="3"/>
      <c r="W104" s="3"/>
      <c r="X104" s="3"/>
      <c r="Y104" s="3"/>
      <c r="Z104" s="3"/>
    </row>
    <row r="105" ht="12.75" customHeight="1">
      <c r="A105" s="3"/>
      <c r="B105" s="4"/>
      <c r="C105" s="6"/>
      <c r="D105" s="6"/>
      <c r="E105" s="6"/>
      <c r="F105" s="6"/>
      <c r="G105" s="3"/>
      <c r="H105" s="3"/>
      <c r="I105" s="3"/>
      <c r="J105" s="3"/>
      <c r="K105" s="3"/>
      <c r="L105" s="3"/>
      <c r="M105" s="3"/>
      <c r="N105" s="3"/>
      <c r="O105" s="3"/>
      <c r="P105" s="3"/>
      <c r="Q105" s="3"/>
      <c r="R105" s="3"/>
      <c r="S105" s="3"/>
      <c r="T105" s="3"/>
      <c r="U105" s="3"/>
      <c r="V105" s="3"/>
      <c r="W105" s="3"/>
      <c r="X105" s="3"/>
      <c r="Y105" s="3"/>
      <c r="Z105" s="3"/>
    </row>
    <row r="106" ht="12.75" customHeight="1">
      <c r="A106" s="3"/>
      <c r="B106" s="4"/>
      <c r="C106" s="6"/>
      <c r="D106" s="6"/>
      <c r="E106" s="6"/>
      <c r="F106" s="6"/>
      <c r="G106" s="3"/>
      <c r="H106" s="3"/>
      <c r="I106" s="3"/>
      <c r="J106" s="3"/>
      <c r="K106" s="3"/>
      <c r="L106" s="3"/>
      <c r="M106" s="3"/>
      <c r="N106" s="3"/>
      <c r="O106" s="3"/>
      <c r="P106" s="3"/>
      <c r="Q106" s="3"/>
      <c r="R106" s="3"/>
      <c r="S106" s="3"/>
      <c r="T106" s="3"/>
      <c r="U106" s="3"/>
      <c r="V106" s="3"/>
      <c r="W106" s="3"/>
      <c r="X106" s="3"/>
      <c r="Y106" s="3"/>
      <c r="Z106" s="3"/>
    </row>
    <row r="107" ht="12.75" customHeight="1">
      <c r="A107" s="3"/>
      <c r="B107" s="4"/>
      <c r="C107" s="6"/>
      <c r="D107" s="6"/>
      <c r="E107" s="6"/>
      <c r="F107" s="6"/>
      <c r="G107" s="3"/>
      <c r="H107" s="3"/>
      <c r="I107" s="3"/>
      <c r="J107" s="3"/>
      <c r="K107" s="3"/>
      <c r="L107" s="3"/>
      <c r="M107" s="3"/>
      <c r="N107" s="3"/>
      <c r="O107" s="3"/>
      <c r="P107" s="3"/>
      <c r="Q107" s="3"/>
      <c r="R107" s="3"/>
      <c r="S107" s="3"/>
      <c r="T107" s="3"/>
      <c r="U107" s="3"/>
      <c r="V107" s="3"/>
      <c r="W107" s="3"/>
      <c r="X107" s="3"/>
      <c r="Y107" s="3"/>
      <c r="Z107" s="3"/>
    </row>
    <row r="108" ht="12.75" customHeight="1">
      <c r="A108" s="3"/>
      <c r="B108" s="4"/>
      <c r="C108" s="6"/>
      <c r="D108" s="6"/>
      <c r="E108" s="6"/>
      <c r="F108" s="6"/>
      <c r="G108" s="3"/>
      <c r="H108" s="3"/>
      <c r="I108" s="3"/>
      <c r="J108" s="3"/>
      <c r="K108" s="3"/>
      <c r="L108" s="3"/>
      <c r="M108" s="3"/>
      <c r="N108" s="3"/>
      <c r="O108" s="3"/>
      <c r="P108" s="3"/>
      <c r="Q108" s="3"/>
      <c r="R108" s="3"/>
      <c r="S108" s="3"/>
      <c r="T108" s="3"/>
      <c r="U108" s="3"/>
      <c r="V108" s="3"/>
      <c r="W108" s="3"/>
      <c r="X108" s="3"/>
      <c r="Y108" s="3"/>
      <c r="Z108" s="3"/>
    </row>
    <row r="109" ht="12.75" customHeight="1">
      <c r="A109" s="3"/>
      <c r="B109" s="4"/>
      <c r="C109" s="6"/>
      <c r="D109" s="6"/>
      <c r="E109" s="6"/>
      <c r="F109" s="6"/>
      <c r="G109" s="3"/>
      <c r="H109" s="3"/>
      <c r="I109" s="3"/>
      <c r="J109" s="3"/>
      <c r="K109" s="3"/>
      <c r="L109" s="3"/>
      <c r="M109" s="3"/>
      <c r="N109" s="3"/>
      <c r="O109" s="3"/>
      <c r="P109" s="3"/>
      <c r="Q109" s="3"/>
      <c r="R109" s="3"/>
      <c r="S109" s="3"/>
      <c r="T109" s="3"/>
      <c r="U109" s="3"/>
      <c r="V109" s="3"/>
      <c r="W109" s="3"/>
      <c r="X109" s="3"/>
      <c r="Y109" s="3"/>
      <c r="Z109" s="3"/>
    </row>
    <row r="110" ht="12.75" customHeight="1">
      <c r="A110" s="3"/>
      <c r="B110" s="4"/>
      <c r="C110" s="6"/>
      <c r="D110" s="6"/>
      <c r="E110" s="6"/>
      <c r="F110" s="6"/>
      <c r="G110" s="3"/>
      <c r="H110" s="3"/>
      <c r="I110" s="3"/>
      <c r="J110" s="3"/>
      <c r="K110" s="3"/>
      <c r="L110" s="3"/>
      <c r="M110" s="3"/>
      <c r="N110" s="3"/>
      <c r="O110" s="3"/>
      <c r="P110" s="3"/>
      <c r="Q110" s="3"/>
      <c r="R110" s="3"/>
      <c r="S110" s="3"/>
      <c r="T110" s="3"/>
      <c r="U110" s="3"/>
      <c r="V110" s="3"/>
      <c r="W110" s="3"/>
      <c r="X110" s="3"/>
      <c r="Y110" s="3"/>
      <c r="Z110" s="3"/>
    </row>
    <row r="111" ht="12.75" customHeight="1">
      <c r="A111" s="3"/>
      <c r="B111" s="4"/>
      <c r="C111" s="6"/>
      <c r="D111" s="6"/>
      <c r="E111" s="6"/>
      <c r="F111" s="6"/>
      <c r="G111" s="3"/>
      <c r="H111" s="3"/>
      <c r="I111" s="3"/>
      <c r="J111" s="3"/>
      <c r="K111" s="3"/>
      <c r="L111" s="3"/>
      <c r="M111" s="3"/>
      <c r="N111" s="3"/>
      <c r="O111" s="3"/>
      <c r="P111" s="3"/>
      <c r="Q111" s="3"/>
      <c r="R111" s="3"/>
      <c r="S111" s="3"/>
      <c r="T111" s="3"/>
      <c r="U111" s="3"/>
      <c r="V111" s="3"/>
      <c r="W111" s="3"/>
      <c r="X111" s="3"/>
      <c r="Y111" s="3"/>
      <c r="Z111" s="3"/>
    </row>
    <row r="112" ht="12.75" customHeight="1">
      <c r="A112" s="3"/>
      <c r="B112" s="4"/>
      <c r="C112" s="6"/>
      <c r="D112" s="6"/>
      <c r="E112" s="6"/>
      <c r="F112" s="6"/>
      <c r="G112" s="3"/>
      <c r="H112" s="3"/>
      <c r="I112" s="3"/>
      <c r="J112" s="3"/>
      <c r="K112" s="3"/>
      <c r="L112" s="3"/>
      <c r="M112" s="3"/>
      <c r="N112" s="3"/>
      <c r="O112" s="3"/>
      <c r="P112" s="3"/>
      <c r="Q112" s="3"/>
      <c r="R112" s="3"/>
      <c r="S112" s="3"/>
      <c r="T112" s="3"/>
      <c r="U112" s="3"/>
      <c r="V112" s="3"/>
      <c r="W112" s="3"/>
      <c r="X112" s="3"/>
      <c r="Y112" s="3"/>
      <c r="Z112" s="3"/>
    </row>
    <row r="113" ht="12.75" customHeight="1">
      <c r="A113" s="3"/>
      <c r="B113" s="4"/>
      <c r="C113" s="6"/>
      <c r="D113" s="6"/>
      <c r="E113" s="6"/>
      <c r="F113" s="6"/>
      <c r="G113" s="3"/>
      <c r="H113" s="3"/>
      <c r="I113" s="3"/>
      <c r="J113" s="3"/>
      <c r="K113" s="3"/>
      <c r="L113" s="3"/>
      <c r="M113" s="3"/>
      <c r="N113" s="3"/>
      <c r="O113" s="3"/>
      <c r="P113" s="3"/>
      <c r="Q113" s="3"/>
      <c r="R113" s="3"/>
      <c r="S113" s="3"/>
      <c r="T113" s="3"/>
      <c r="U113" s="3"/>
      <c r="V113" s="3"/>
      <c r="W113" s="3"/>
      <c r="X113" s="3"/>
      <c r="Y113" s="3"/>
      <c r="Z113" s="3"/>
    </row>
    <row r="114" ht="12.75" customHeight="1">
      <c r="A114" s="3"/>
      <c r="B114" s="4"/>
      <c r="C114" s="6"/>
      <c r="D114" s="6"/>
      <c r="E114" s="6"/>
      <c r="F114" s="6"/>
      <c r="G114" s="3"/>
      <c r="H114" s="3"/>
      <c r="I114" s="3"/>
      <c r="J114" s="3"/>
      <c r="K114" s="3"/>
      <c r="L114" s="3"/>
      <c r="M114" s="3"/>
      <c r="N114" s="3"/>
      <c r="O114" s="3"/>
      <c r="P114" s="3"/>
      <c r="Q114" s="3"/>
      <c r="R114" s="3"/>
      <c r="S114" s="3"/>
      <c r="T114" s="3"/>
      <c r="U114" s="3"/>
      <c r="V114" s="3"/>
      <c r="W114" s="3"/>
      <c r="X114" s="3"/>
      <c r="Y114" s="3"/>
      <c r="Z114" s="3"/>
    </row>
    <row r="115" ht="12.75" customHeight="1">
      <c r="A115" s="3"/>
      <c r="B115" s="4"/>
      <c r="C115" s="6"/>
      <c r="D115" s="6"/>
      <c r="E115" s="6"/>
      <c r="F115" s="6"/>
      <c r="G115" s="3"/>
      <c r="H115" s="3"/>
      <c r="I115" s="3"/>
      <c r="J115" s="3"/>
      <c r="K115" s="3"/>
      <c r="L115" s="3"/>
      <c r="M115" s="3"/>
      <c r="N115" s="3"/>
      <c r="O115" s="3"/>
      <c r="P115" s="3"/>
      <c r="Q115" s="3"/>
      <c r="R115" s="3"/>
      <c r="S115" s="3"/>
      <c r="T115" s="3"/>
      <c r="U115" s="3"/>
      <c r="V115" s="3"/>
      <c r="W115" s="3"/>
      <c r="X115" s="3"/>
      <c r="Y115" s="3"/>
      <c r="Z115" s="3"/>
    </row>
    <row r="116" ht="12.75" customHeight="1">
      <c r="A116" s="3"/>
      <c r="B116" s="4"/>
      <c r="C116" s="6"/>
      <c r="D116" s="6"/>
      <c r="E116" s="6"/>
      <c r="F116" s="6"/>
      <c r="G116" s="3"/>
      <c r="H116" s="3"/>
      <c r="I116" s="3"/>
      <c r="J116" s="3"/>
      <c r="K116" s="3"/>
      <c r="L116" s="3"/>
      <c r="M116" s="3"/>
      <c r="N116" s="3"/>
      <c r="O116" s="3"/>
      <c r="P116" s="3"/>
      <c r="Q116" s="3"/>
      <c r="R116" s="3"/>
      <c r="S116" s="3"/>
      <c r="T116" s="3"/>
      <c r="U116" s="3"/>
      <c r="V116" s="3"/>
      <c r="W116" s="3"/>
      <c r="X116" s="3"/>
      <c r="Y116" s="3"/>
      <c r="Z116" s="3"/>
    </row>
    <row r="117" ht="12.75" customHeight="1">
      <c r="A117" s="3"/>
      <c r="B117" s="4"/>
      <c r="C117" s="6"/>
      <c r="D117" s="6"/>
      <c r="E117" s="6"/>
      <c r="F117" s="6"/>
      <c r="G117" s="3"/>
      <c r="H117" s="3"/>
      <c r="I117" s="3"/>
      <c r="J117" s="3"/>
      <c r="K117" s="3"/>
      <c r="L117" s="3"/>
      <c r="M117" s="3"/>
      <c r="N117" s="3"/>
      <c r="O117" s="3"/>
      <c r="P117" s="3"/>
      <c r="Q117" s="3"/>
      <c r="R117" s="3"/>
      <c r="S117" s="3"/>
      <c r="T117" s="3"/>
      <c r="U117" s="3"/>
      <c r="V117" s="3"/>
      <c r="W117" s="3"/>
      <c r="X117" s="3"/>
      <c r="Y117" s="3"/>
      <c r="Z117" s="3"/>
    </row>
    <row r="118" ht="12.75" customHeight="1">
      <c r="A118" s="3"/>
      <c r="B118" s="4"/>
      <c r="C118" s="6"/>
      <c r="D118" s="6"/>
      <c r="E118" s="6"/>
      <c r="F118" s="6"/>
      <c r="G118" s="3"/>
      <c r="H118" s="3"/>
      <c r="I118" s="3"/>
      <c r="J118" s="3"/>
      <c r="K118" s="3"/>
      <c r="L118" s="3"/>
      <c r="M118" s="3"/>
      <c r="N118" s="3"/>
      <c r="O118" s="3"/>
      <c r="P118" s="3"/>
      <c r="Q118" s="3"/>
      <c r="R118" s="3"/>
      <c r="S118" s="3"/>
      <c r="T118" s="3"/>
      <c r="U118" s="3"/>
      <c r="V118" s="3"/>
      <c r="W118" s="3"/>
      <c r="X118" s="3"/>
      <c r="Y118" s="3"/>
      <c r="Z118" s="3"/>
    </row>
    <row r="119" ht="12.75" customHeight="1">
      <c r="A119" s="3"/>
      <c r="B119" s="4"/>
      <c r="C119" s="6"/>
      <c r="D119" s="6"/>
      <c r="E119" s="6"/>
      <c r="F119" s="6"/>
      <c r="G119" s="3"/>
      <c r="H119" s="3"/>
      <c r="I119" s="3"/>
      <c r="J119" s="3"/>
      <c r="K119" s="3"/>
      <c r="L119" s="3"/>
      <c r="M119" s="3"/>
      <c r="N119" s="3"/>
      <c r="O119" s="3"/>
      <c r="P119" s="3"/>
      <c r="Q119" s="3"/>
      <c r="R119" s="3"/>
      <c r="S119" s="3"/>
      <c r="T119" s="3"/>
      <c r="U119" s="3"/>
      <c r="V119" s="3"/>
      <c r="W119" s="3"/>
      <c r="X119" s="3"/>
      <c r="Y119" s="3"/>
      <c r="Z119" s="3"/>
    </row>
    <row r="120" ht="12.75" customHeight="1">
      <c r="A120" s="3"/>
      <c r="B120" s="4"/>
      <c r="C120" s="6"/>
      <c r="D120" s="6"/>
      <c r="E120" s="6"/>
      <c r="F120" s="6"/>
      <c r="G120" s="3"/>
      <c r="H120" s="3"/>
      <c r="I120" s="3"/>
      <c r="J120" s="3"/>
      <c r="K120" s="3"/>
      <c r="L120" s="3"/>
      <c r="M120" s="3"/>
      <c r="N120" s="3"/>
      <c r="O120" s="3"/>
      <c r="P120" s="3"/>
      <c r="Q120" s="3"/>
      <c r="R120" s="3"/>
      <c r="S120" s="3"/>
      <c r="T120" s="3"/>
      <c r="U120" s="3"/>
      <c r="V120" s="3"/>
      <c r="W120" s="3"/>
      <c r="X120" s="3"/>
      <c r="Y120" s="3"/>
      <c r="Z120" s="3"/>
    </row>
    <row r="121" ht="12.75" customHeight="1">
      <c r="A121" s="3"/>
      <c r="B121" s="4"/>
      <c r="C121" s="6"/>
      <c r="D121" s="6"/>
      <c r="E121" s="6"/>
      <c r="F121" s="6"/>
      <c r="G121" s="3"/>
      <c r="H121" s="3"/>
      <c r="I121" s="3"/>
      <c r="J121" s="3"/>
      <c r="K121" s="3"/>
      <c r="L121" s="3"/>
      <c r="M121" s="3"/>
      <c r="N121" s="3"/>
      <c r="O121" s="3"/>
      <c r="P121" s="3"/>
      <c r="Q121" s="3"/>
      <c r="R121" s="3"/>
      <c r="S121" s="3"/>
      <c r="T121" s="3"/>
      <c r="U121" s="3"/>
      <c r="V121" s="3"/>
      <c r="W121" s="3"/>
      <c r="X121" s="3"/>
      <c r="Y121" s="3"/>
      <c r="Z121" s="3"/>
    </row>
    <row r="122" ht="12.75" customHeight="1">
      <c r="A122" s="3"/>
      <c r="B122" s="4"/>
      <c r="C122" s="6"/>
      <c r="D122" s="6"/>
      <c r="E122" s="6"/>
      <c r="F122" s="6"/>
      <c r="G122" s="3"/>
      <c r="H122" s="3"/>
      <c r="I122" s="3"/>
      <c r="J122" s="3"/>
      <c r="K122" s="3"/>
      <c r="L122" s="3"/>
      <c r="M122" s="3"/>
      <c r="N122" s="3"/>
      <c r="O122" s="3"/>
      <c r="P122" s="3"/>
      <c r="Q122" s="3"/>
      <c r="R122" s="3"/>
      <c r="S122" s="3"/>
      <c r="T122" s="3"/>
      <c r="U122" s="3"/>
      <c r="V122" s="3"/>
      <c r="W122" s="3"/>
      <c r="X122" s="3"/>
      <c r="Y122" s="3"/>
      <c r="Z122" s="3"/>
    </row>
    <row r="123" ht="12.75" customHeight="1">
      <c r="A123" s="3"/>
      <c r="B123" s="4"/>
      <c r="C123" s="6"/>
      <c r="D123" s="6"/>
      <c r="E123" s="6"/>
      <c r="F123" s="6"/>
      <c r="G123" s="3"/>
      <c r="H123" s="3"/>
      <c r="I123" s="3"/>
      <c r="J123" s="3"/>
      <c r="K123" s="3"/>
      <c r="L123" s="3"/>
      <c r="M123" s="3"/>
      <c r="N123" s="3"/>
      <c r="O123" s="3"/>
      <c r="P123" s="3"/>
      <c r="Q123" s="3"/>
      <c r="R123" s="3"/>
      <c r="S123" s="3"/>
      <c r="T123" s="3"/>
      <c r="U123" s="3"/>
      <c r="V123" s="3"/>
      <c r="W123" s="3"/>
      <c r="X123" s="3"/>
      <c r="Y123" s="3"/>
      <c r="Z123" s="3"/>
    </row>
    <row r="124" ht="12.75" customHeight="1">
      <c r="A124" s="3"/>
      <c r="B124" s="4"/>
      <c r="C124" s="6"/>
      <c r="D124" s="6"/>
      <c r="E124" s="6"/>
      <c r="F124" s="6"/>
      <c r="G124" s="3"/>
      <c r="H124" s="3"/>
      <c r="I124" s="3"/>
      <c r="J124" s="3"/>
      <c r="K124" s="3"/>
      <c r="L124" s="3"/>
      <c r="M124" s="3"/>
      <c r="N124" s="3"/>
      <c r="O124" s="3"/>
      <c r="P124" s="3"/>
      <c r="Q124" s="3"/>
      <c r="R124" s="3"/>
      <c r="S124" s="3"/>
      <c r="T124" s="3"/>
      <c r="U124" s="3"/>
      <c r="V124" s="3"/>
      <c r="W124" s="3"/>
      <c r="X124" s="3"/>
      <c r="Y124" s="3"/>
      <c r="Z124" s="3"/>
    </row>
    <row r="125" ht="12.75" customHeight="1">
      <c r="A125" s="3"/>
      <c r="B125" s="4"/>
      <c r="C125" s="6"/>
      <c r="D125" s="6"/>
      <c r="E125" s="6"/>
      <c r="F125" s="6"/>
      <c r="G125" s="3"/>
      <c r="H125" s="3"/>
      <c r="I125" s="3"/>
      <c r="J125" s="3"/>
      <c r="K125" s="3"/>
      <c r="L125" s="3"/>
      <c r="M125" s="3"/>
      <c r="N125" s="3"/>
      <c r="O125" s="3"/>
      <c r="P125" s="3"/>
      <c r="Q125" s="3"/>
      <c r="R125" s="3"/>
      <c r="S125" s="3"/>
      <c r="T125" s="3"/>
      <c r="U125" s="3"/>
      <c r="V125" s="3"/>
      <c r="W125" s="3"/>
      <c r="X125" s="3"/>
      <c r="Y125" s="3"/>
      <c r="Z125" s="3"/>
    </row>
    <row r="126" ht="12.75" customHeight="1">
      <c r="A126" s="3"/>
      <c r="B126" s="4"/>
      <c r="C126" s="6"/>
      <c r="D126" s="6"/>
      <c r="E126" s="6"/>
      <c r="F126" s="6"/>
      <c r="G126" s="3"/>
      <c r="H126" s="3"/>
      <c r="I126" s="3"/>
      <c r="J126" s="3"/>
      <c r="K126" s="3"/>
      <c r="L126" s="3"/>
      <c r="M126" s="3"/>
      <c r="N126" s="3"/>
      <c r="O126" s="3"/>
      <c r="P126" s="3"/>
      <c r="Q126" s="3"/>
      <c r="R126" s="3"/>
      <c r="S126" s="3"/>
      <c r="T126" s="3"/>
      <c r="U126" s="3"/>
      <c r="V126" s="3"/>
      <c r="W126" s="3"/>
      <c r="X126" s="3"/>
      <c r="Y126" s="3"/>
      <c r="Z126" s="3"/>
    </row>
    <row r="127" ht="12.75" customHeight="1">
      <c r="A127" s="3"/>
      <c r="B127" s="4"/>
      <c r="C127" s="6"/>
      <c r="D127" s="6"/>
      <c r="E127" s="6"/>
      <c r="F127" s="6"/>
      <c r="G127" s="3"/>
      <c r="H127" s="3"/>
      <c r="I127" s="3"/>
      <c r="J127" s="3"/>
      <c r="K127" s="3"/>
      <c r="L127" s="3"/>
      <c r="M127" s="3"/>
      <c r="N127" s="3"/>
      <c r="O127" s="3"/>
      <c r="P127" s="3"/>
      <c r="Q127" s="3"/>
      <c r="R127" s="3"/>
      <c r="S127" s="3"/>
      <c r="T127" s="3"/>
      <c r="U127" s="3"/>
      <c r="V127" s="3"/>
      <c r="W127" s="3"/>
      <c r="X127" s="3"/>
      <c r="Y127" s="3"/>
      <c r="Z127" s="3"/>
    </row>
    <row r="128" ht="12.75" customHeight="1">
      <c r="A128" s="3"/>
      <c r="B128" s="4"/>
      <c r="C128" s="6"/>
      <c r="D128" s="6"/>
      <c r="E128" s="6"/>
      <c r="F128" s="6"/>
      <c r="G128" s="3"/>
      <c r="H128" s="3"/>
      <c r="I128" s="3"/>
      <c r="J128" s="3"/>
      <c r="K128" s="3"/>
      <c r="L128" s="3"/>
      <c r="M128" s="3"/>
      <c r="N128" s="3"/>
      <c r="O128" s="3"/>
      <c r="P128" s="3"/>
      <c r="Q128" s="3"/>
      <c r="R128" s="3"/>
      <c r="S128" s="3"/>
      <c r="T128" s="3"/>
      <c r="U128" s="3"/>
      <c r="V128" s="3"/>
      <c r="W128" s="3"/>
      <c r="X128" s="3"/>
      <c r="Y128" s="3"/>
      <c r="Z128" s="3"/>
    </row>
    <row r="129" ht="12.75" customHeight="1">
      <c r="A129" s="3"/>
      <c r="B129" s="4"/>
      <c r="C129" s="6"/>
      <c r="D129" s="6"/>
      <c r="E129" s="6"/>
      <c r="F129" s="6"/>
      <c r="G129" s="3"/>
      <c r="H129" s="3"/>
      <c r="I129" s="3"/>
      <c r="J129" s="3"/>
      <c r="K129" s="3"/>
      <c r="L129" s="3"/>
      <c r="M129" s="3"/>
      <c r="N129" s="3"/>
      <c r="O129" s="3"/>
      <c r="P129" s="3"/>
      <c r="Q129" s="3"/>
      <c r="R129" s="3"/>
      <c r="S129" s="3"/>
      <c r="T129" s="3"/>
      <c r="U129" s="3"/>
      <c r="V129" s="3"/>
      <c r="W129" s="3"/>
      <c r="X129" s="3"/>
      <c r="Y129" s="3"/>
      <c r="Z129" s="3"/>
    </row>
    <row r="130" ht="12.75" customHeight="1">
      <c r="A130" s="3"/>
      <c r="B130" s="4"/>
      <c r="C130" s="6"/>
      <c r="D130" s="6"/>
      <c r="E130" s="6"/>
      <c r="F130" s="6"/>
      <c r="G130" s="3"/>
      <c r="H130" s="3"/>
      <c r="I130" s="3"/>
      <c r="J130" s="3"/>
      <c r="K130" s="3"/>
      <c r="L130" s="3"/>
      <c r="M130" s="3"/>
      <c r="N130" s="3"/>
      <c r="O130" s="3"/>
      <c r="P130" s="3"/>
      <c r="Q130" s="3"/>
      <c r="R130" s="3"/>
      <c r="S130" s="3"/>
      <c r="T130" s="3"/>
      <c r="U130" s="3"/>
      <c r="V130" s="3"/>
      <c r="W130" s="3"/>
      <c r="X130" s="3"/>
      <c r="Y130" s="3"/>
      <c r="Z130" s="3"/>
    </row>
    <row r="131" ht="12.75" customHeight="1">
      <c r="A131" s="3"/>
      <c r="B131" s="4"/>
      <c r="C131" s="6"/>
      <c r="D131" s="6"/>
      <c r="E131" s="6"/>
      <c r="F131" s="6"/>
      <c r="G131" s="3"/>
      <c r="H131" s="3"/>
      <c r="I131" s="3"/>
      <c r="J131" s="3"/>
      <c r="K131" s="3"/>
      <c r="L131" s="3"/>
      <c r="M131" s="3"/>
      <c r="N131" s="3"/>
      <c r="O131" s="3"/>
      <c r="P131" s="3"/>
      <c r="Q131" s="3"/>
      <c r="R131" s="3"/>
      <c r="S131" s="3"/>
      <c r="T131" s="3"/>
      <c r="U131" s="3"/>
      <c r="V131" s="3"/>
      <c r="W131" s="3"/>
      <c r="X131" s="3"/>
      <c r="Y131" s="3"/>
      <c r="Z131" s="3"/>
    </row>
    <row r="132" ht="12.75" customHeight="1">
      <c r="A132" s="3"/>
      <c r="B132" s="4"/>
      <c r="C132" s="6"/>
      <c r="D132" s="6"/>
      <c r="E132" s="6"/>
      <c r="F132" s="6"/>
      <c r="G132" s="3"/>
      <c r="H132" s="3"/>
      <c r="I132" s="3"/>
      <c r="J132" s="3"/>
      <c r="K132" s="3"/>
      <c r="L132" s="3"/>
      <c r="M132" s="3"/>
      <c r="N132" s="3"/>
      <c r="O132" s="3"/>
      <c r="P132" s="3"/>
      <c r="Q132" s="3"/>
      <c r="R132" s="3"/>
      <c r="S132" s="3"/>
      <c r="T132" s="3"/>
      <c r="U132" s="3"/>
      <c r="V132" s="3"/>
      <c r="W132" s="3"/>
      <c r="X132" s="3"/>
      <c r="Y132" s="3"/>
      <c r="Z132" s="3"/>
    </row>
    <row r="133" ht="12.75" customHeight="1">
      <c r="A133" s="3"/>
      <c r="B133" s="4"/>
      <c r="C133" s="6"/>
      <c r="D133" s="6"/>
      <c r="E133" s="6"/>
      <c r="F133" s="6"/>
      <c r="G133" s="3"/>
      <c r="H133" s="3"/>
      <c r="I133" s="3"/>
      <c r="J133" s="3"/>
      <c r="K133" s="3"/>
      <c r="L133" s="3"/>
      <c r="M133" s="3"/>
      <c r="N133" s="3"/>
      <c r="O133" s="3"/>
      <c r="P133" s="3"/>
      <c r="Q133" s="3"/>
      <c r="R133" s="3"/>
      <c r="S133" s="3"/>
      <c r="T133" s="3"/>
      <c r="U133" s="3"/>
      <c r="V133" s="3"/>
      <c r="W133" s="3"/>
      <c r="X133" s="3"/>
      <c r="Y133" s="3"/>
      <c r="Z133" s="3"/>
    </row>
    <row r="134" ht="12.75" customHeight="1">
      <c r="A134" s="3"/>
      <c r="B134" s="4"/>
      <c r="C134" s="6"/>
      <c r="D134" s="6"/>
      <c r="E134" s="6"/>
      <c r="F134" s="6"/>
      <c r="G134" s="3"/>
      <c r="H134" s="3"/>
      <c r="I134" s="3"/>
      <c r="J134" s="3"/>
      <c r="K134" s="3"/>
      <c r="L134" s="3"/>
      <c r="M134" s="3"/>
      <c r="N134" s="3"/>
      <c r="O134" s="3"/>
      <c r="P134" s="3"/>
      <c r="Q134" s="3"/>
      <c r="R134" s="3"/>
      <c r="S134" s="3"/>
      <c r="T134" s="3"/>
      <c r="U134" s="3"/>
      <c r="V134" s="3"/>
      <c r="W134" s="3"/>
      <c r="X134" s="3"/>
      <c r="Y134" s="3"/>
      <c r="Z134" s="3"/>
    </row>
    <row r="135" ht="12.75" customHeight="1">
      <c r="A135" s="3"/>
      <c r="B135" s="4"/>
      <c r="C135" s="6"/>
      <c r="D135" s="6"/>
      <c r="E135" s="6"/>
      <c r="F135" s="6"/>
      <c r="G135" s="3"/>
      <c r="H135" s="3"/>
      <c r="I135" s="3"/>
      <c r="J135" s="3"/>
      <c r="K135" s="3"/>
      <c r="L135" s="3"/>
      <c r="M135" s="3"/>
      <c r="N135" s="3"/>
      <c r="O135" s="3"/>
      <c r="P135" s="3"/>
      <c r="Q135" s="3"/>
      <c r="R135" s="3"/>
      <c r="S135" s="3"/>
      <c r="T135" s="3"/>
      <c r="U135" s="3"/>
      <c r="V135" s="3"/>
      <c r="W135" s="3"/>
      <c r="X135" s="3"/>
      <c r="Y135" s="3"/>
      <c r="Z135" s="3"/>
    </row>
    <row r="136" ht="12.75" customHeight="1">
      <c r="A136" s="3"/>
      <c r="B136" s="4"/>
      <c r="C136" s="6"/>
      <c r="D136" s="6"/>
      <c r="E136" s="6"/>
      <c r="F136" s="6"/>
      <c r="G136" s="3"/>
      <c r="H136" s="3"/>
      <c r="I136" s="3"/>
      <c r="J136" s="3"/>
      <c r="K136" s="3"/>
      <c r="L136" s="3"/>
      <c r="M136" s="3"/>
      <c r="N136" s="3"/>
      <c r="O136" s="3"/>
      <c r="P136" s="3"/>
      <c r="Q136" s="3"/>
      <c r="R136" s="3"/>
      <c r="S136" s="3"/>
      <c r="T136" s="3"/>
      <c r="U136" s="3"/>
      <c r="V136" s="3"/>
      <c r="W136" s="3"/>
      <c r="X136" s="3"/>
      <c r="Y136" s="3"/>
      <c r="Z136" s="3"/>
    </row>
    <row r="137" ht="12.75" customHeight="1">
      <c r="A137" s="3"/>
      <c r="B137" s="4"/>
      <c r="C137" s="6"/>
      <c r="D137" s="6"/>
      <c r="E137" s="6"/>
      <c r="F137" s="6"/>
      <c r="G137" s="3"/>
      <c r="H137" s="3"/>
      <c r="I137" s="3"/>
      <c r="J137" s="3"/>
      <c r="K137" s="3"/>
      <c r="L137" s="3"/>
      <c r="M137" s="3"/>
      <c r="N137" s="3"/>
      <c r="O137" s="3"/>
      <c r="P137" s="3"/>
      <c r="Q137" s="3"/>
      <c r="R137" s="3"/>
      <c r="S137" s="3"/>
      <c r="T137" s="3"/>
      <c r="U137" s="3"/>
      <c r="V137" s="3"/>
      <c r="W137" s="3"/>
      <c r="X137" s="3"/>
      <c r="Y137" s="3"/>
      <c r="Z137" s="3"/>
    </row>
    <row r="138" ht="12.75" customHeight="1">
      <c r="A138" s="3"/>
      <c r="B138" s="4"/>
      <c r="C138" s="6"/>
      <c r="D138" s="6"/>
      <c r="E138" s="6"/>
      <c r="F138" s="6"/>
      <c r="G138" s="3"/>
      <c r="H138" s="3"/>
      <c r="I138" s="3"/>
      <c r="J138" s="3"/>
      <c r="K138" s="3"/>
      <c r="L138" s="3"/>
      <c r="M138" s="3"/>
      <c r="N138" s="3"/>
      <c r="O138" s="3"/>
      <c r="P138" s="3"/>
      <c r="Q138" s="3"/>
      <c r="R138" s="3"/>
      <c r="S138" s="3"/>
      <c r="T138" s="3"/>
      <c r="U138" s="3"/>
      <c r="V138" s="3"/>
      <c r="W138" s="3"/>
      <c r="X138" s="3"/>
      <c r="Y138" s="3"/>
      <c r="Z138" s="3"/>
    </row>
    <row r="139" ht="12.75" customHeight="1">
      <c r="A139" s="3"/>
      <c r="B139" s="4"/>
      <c r="C139" s="6"/>
      <c r="D139" s="6"/>
      <c r="E139" s="6"/>
      <c r="F139" s="6"/>
      <c r="G139" s="3"/>
      <c r="H139" s="3"/>
      <c r="I139" s="3"/>
      <c r="J139" s="3"/>
      <c r="K139" s="3"/>
      <c r="L139" s="3"/>
      <c r="M139" s="3"/>
      <c r="N139" s="3"/>
      <c r="O139" s="3"/>
      <c r="P139" s="3"/>
      <c r="Q139" s="3"/>
      <c r="R139" s="3"/>
      <c r="S139" s="3"/>
      <c r="T139" s="3"/>
      <c r="U139" s="3"/>
      <c r="V139" s="3"/>
      <c r="W139" s="3"/>
      <c r="X139" s="3"/>
      <c r="Y139" s="3"/>
      <c r="Z139" s="3"/>
    </row>
    <row r="140" ht="12.75" customHeight="1">
      <c r="A140" s="3"/>
      <c r="B140" s="4"/>
      <c r="C140" s="6"/>
      <c r="D140" s="6"/>
      <c r="E140" s="6"/>
      <c r="F140" s="6"/>
      <c r="G140" s="3"/>
      <c r="H140" s="3"/>
      <c r="I140" s="3"/>
      <c r="J140" s="3"/>
      <c r="K140" s="3"/>
      <c r="L140" s="3"/>
      <c r="M140" s="3"/>
      <c r="N140" s="3"/>
      <c r="O140" s="3"/>
      <c r="P140" s="3"/>
      <c r="Q140" s="3"/>
      <c r="R140" s="3"/>
      <c r="S140" s="3"/>
      <c r="T140" s="3"/>
      <c r="U140" s="3"/>
      <c r="V140" s="3"/>
      <c r="W140" s="3"/>
      <c r="X140" s="3"/>
      <c r="Y140" s="3"/>
      <c r="Z140" s="3"/>
    </row>
    <row r="141" ht="12.75" customHeight="1">
      <c r="A141" s="3"/>
      <c r="B141" s="4"/>
      <c r="C141" s="6"/>
      <c r="D141" s="6"/>
      <c r="E141" s="6"/>
      <c r="F141" s="6"/>
      <c r="G141" s="3"/>
      <c r="H141" s="3"/>
      <c r="I141" s="3"/>
      <c r="J141" s="3"/>
      <c r="K141" s="3"/>
      <c r="L141" s="3"/>
      <c r="M141" s="3"/>
      <c r="N141" s="3"/>
      <c r="O141" s="3"/>
      <c r="P141" s="3"/>
      <c r="Q141" s="3"/>
      <c r="R141" s="3"/>
      <c r="S141" s="3"/>
      <c r="T141" s="3"/>
      <c r="U141" s="3"/>
      <c r="V141" s="3"/>
      <c r="W141" s="3"/>
      <c r="X141" s="3"/>
      <c r="Y141" s="3"/>
      <c r="Z141" s="3"/>
    </row>
    <row r="142" ht="12.75" customHeight="1">
      <c r="A142" s="3"/>
      <c r="B142" s="4"/>
      <c r="C142" s="6"/>
      <c r="D142" s="6"/>
      <c r="E142" s="6"/>
      <c r="F142" s="6"/>
      <c r="G142" s="3"/>
      <c r="H142" s="3"/>
      <c r="I142" s="3"/>
      <c r="J142" s="3"/>
      <c r="K142" s="3"/>
      <c r="L142" s="3"/>
      <c r="M142" s="3"/>
      <c r="N142" s="3"/>
      <c r="O142" s="3"/>
      <c r="P142" s="3"/>
      <c r="Q142" s="3"/>
      <c r="R142" s="3"/>
      <c r="S142" s="3"/>
      <c r="T142" s="3"/>
      <c r="U142" s="3"/>
      <c r="V142" s="3"/>
      <c r="W142" s="3"/>
      <c r="X142" s="3"/>
      <c r="Y142" s="3"/>
      <c r="Z142" s="3"/>
    </row>
    <row r="143" ht="12.75" customHeight="1">
      <c r="A143" s="3"/>
      <c r="B143" s="4"/>
      <c r="C143" s="6"/>
      <c r="D143" s="6"/>
      <c r="E143" s="6"/>
      <c r="F143" s="6"/>
      <c r="G143" s="3"/>
      <c r="H143" s="3"/>
      <c r="I143" s="3"/>
      <c r="J143" s="3"/>
      <c r="K143" s="3"/>
      <c r="L143" s="3"/>
      <c r="M143" s="3"/>
      <c r="N143" s="3"/>
      <c r="O143" s="3"/>
      <c r="P143" s="3"/>
      <c r="Q143" s="3"/>
      <c r="R143" s="3"/>
      <c r="S143" s="3"/>
      <c r="T143" s="3"/>
      <c r="U143" s="3"/>
      <c r="V143" s="3"/>
      <c r="W143" s="3"/>
      <c r="X143" s="3"/>
      <c r="Y143" s="3"/>
      <c r="Z143" s="3"/>
    </row>
    <row r="144" ht="12.75" customHeight="1">
      <c r="A144" s="3"/>
      <c r="B144" s="4"/>
      <c r="C144" s="6"/>
      <c r="D144" s="6"/>
      <c r="E144" s="6"/>
      <c r="F144" s="6"/>
      <c r="G144" s="3"/>
      <c r="H144" s="3"/>
      <c r="I144" s="3"/>
      <c r="J144" s="3"/>
      <c r="K144" s="3"/>
      <c r="L144" s="3"/>
      <c r="M144" s="3"/>
      <c r="N144" s="3"/>
      <c r="O144" s="3"/>
      <c r="P144" s="3"/>
      <c r="Q144" s="3"/>
      <c r="R144" s="3"/>
      <c r="S144" s="3"/>
      <c r="T144" s="3"/>
      <c r="U144" s="3"/>
      <c r="V144" s="3"/>
      <c r="W144" s="3"/>
      <c r="X144" s="3"/>
      <c r="Y144" s="3"/>
      <c r="Z144" s="3"/>
    </row>
    <row r="145" ht="12.75" customHeight="1">
      <c r="A145" s="3"/>
      <c r="B145" s="4"/>
      <c r="C145" s="6"/>
      <c r="D145" s="6"/>
      <c r="E145" s="6"/>
      <c r="F145" s="6"/>
      <c r="G145" s="3"/>
      <c r="H145" s="3"/>
      <c r="I145" s="3"/>
      <c r="J145" s="3"/>
      <c r="K145" s="3"/>
      <c r="L145" s="3"/>
      <c r="M145" s="3"/>
      <c r="N145" s="3"/>
      <c r="O145" s="3"/>
      <c r="P145" s="3"/>
      <c r="Q145" s="3"/>
      <c r="R145" s="3"/>
      <c r="S145" s="3"/>
      <c r="T145" s="3"/>
      <c r="U145" s="3"/>
      <c r="V145" s="3"/>
      <c r="W145" s="3"/>
      <c r="X145" s="3"/>
      <c r="Y145" s="3"/>
      <c r="Z145" s="3"/>
    </row>
    <row r="146" ht="12.75" customHeight="1">
      <c r="A146" s="3"/>
      <c r="B146" s="4"/>
      <c r="C146" s="6"/>
      <c r="D146" s="6"/>
      <c r="E146" s="6"/>
      <c r="F146" s="6"/>
      <c r="G146" s="3"/>
      <c r="H146" s="3"/>
      <c r="I146" s="3"/>
      <c r="J146" s="3"/>
      <c r="K146" s="3"/>
      <c r="L146" s="3"/>
      <c r="M146" s="3"/>
      <c r="N146" s="3"/>
      <c r="O146" s="3"/>
      <c r="P146" s="3"/>
      <c r="Q146" s="3"/>
      <c r="R146" s="3"/>
      <c r="S146" s="3"/>
      <c r="T146" s="3"/>
      <c r="U146" s="3"/>
      <c r="V146" s="3"/>
      <c r="W146" s="3"/>
      <c r="X146" s="3"/>
      <c r="Y146" s="3"/>
      <c r="Z146" s="3"/>
    </row>
    <row r="147" ht="12.75" customHeight="1">
      <c r="A147" s="3"/>
      <c r="B147" s="4"/>
      <c r="C147" s="6"/>
      <c r="D147" s="6"/>
      <c r="E147" s="6"/>
      <c r="F147" s="6"/>
      <c r="G147" s="3"/>
      <c r="H147" s="3"/>
      <c r="I147" s="3"/>
      <c r="J147" s="3"/>
      <c r="K147" s="3"/>
      <c r="L147" s="3"/>
      <c r="M147" s="3"/>
      <c r="N147" s="3"/>
      <c r="O147" s="3"/>
      <c r="P147" s="3"/>
      <c r="Q147" s="3"/>
      <c r="R147" s="3"/>
      <c r="S147" s="3"/>
      <c r="T147" s="3"/>
      <c r="U147" s="3"/>
      <c r="V147" s="3"/>
      <c r="W147" s="3"/>
      <c r="X147" s="3"/>
      <c r="Y147" s="3"/>
      <c r="Z147" s="3"/>
    </row>
    <row r="148" ht="12.75" customHeight="1">
      <c r="A148" s="3"/>
      <c r="B148" s="4"/>
      <c r="C148" s="6"/>
      <c r="D148" s="6"/>
      <c r="E148" s="6"/>
      <c r="F148" s="6"/>
      <c r="G148" s="3"/>
      <c r="H148" s="3"/>
      <c r="I148" s="3"/>
      <c r="J148" s="3"/>
      <c r="K148" s="3"/>
      <c r="L148" s="3"/>
      <c r="M148" s="3"/>
      <c r="N148" s="3"/>
      <c r="O148" s="3"/>
      <c r="P148" s="3"/>
      <c r="Q148" s="3"/>
      <c r="R148" s="3"/>
      <c r="S148" s="3"/>
      <c r="T148" s="3"/>
      <c r="U148" s="3"/>
      <c r="V148" s="3"/>
      <c r="W148" s="3"/>
      <c r="X148" s="3"/>
      <c r="Y148" s="3"/>
      <c r="Z148" s="3"/>
    </row>
    <row r="149" ht="12.75" customHeight="1">
      <c r="A149" s="3"/>
      <c r="B149" s="4"/>
      <c r="C149" s="6"/>
      <c r="D149" s="6"/>
      <c r="E149" s="6"/>
      <c r="F149" s="6"/>
      <c r="G149" s="3"/>
      <c r="H149" s="3"/>
      <c r="I149" s="3"/>
      <c r="J149" s="3"/>
      <c r="K149" s="3"/>
      <c r="L149" s="3"/>
      <c r="M149" s="3"/>
      <c r="N149" s="3"/>
      <c r="O149" s="3"/>
      <c r="P149" s="3"/>
      <c r="Q149" s="3"/>
      <c r="R149" s="3"/>
      <c r="S149" s="3"/>
      <c r="T149" s="3"/>
      <c r="U149" s="3"/>
      <c r="V149" s="3"/>
      <c r="W149" s="3"/>
      <c r="X149" s="3"/>
      <c r="Y149" s="3"/>
      <c r="Z149" s="3"/>
    </row>
    <row r="150" ht="12.75" customHeight="1">
      <c r="A150" s="3"/>
      <c r="B150" s="4"/>
      <c r="C150" s="6"/>
      <c r="D150" s="6"/>
      <c r="E150" s="6"/>
      <c r="F150" s="6"/>
      <c r="G150" s="3"/>
      <c r="H150" s="3"/>
      <c r="I150" s="3"/>
      <c r="J150" s="3"/>
      <c r="K150" s="3"/>
      <c r="L150" s="3"/>
      <c r="M150" s="3"/>
      <c r="N150" s="3"/>
      <c r="O150" s="3"/>
      <c r="P150" s="3"/>
      <c r="Q150" s="3"/>
      <c r="R150" s="3"/>
      <c r="S150" s="3"/>
      <c r="T150" s="3"/>
      <c r="U150" s="3"/>
      <c r="V150" s="3"/>
      <c r="W150" s="3"/>
      <c r="X150" s="3"/>
      <c r="Y150" s="3"/>
      <c r="Z150" s="3"/>
    </row>
    <row r="151" ht="12.75" customHeight="1">
      <c r="A151" s="3"/>
      <c r="B151" s="4"/>
      <c r="C151" s="6"/>
      <c r="D151" s="6"/>
      <c r="E151" s="6"/>
      <c r="F151" s="6"/>
      <c r="G151" s="3"/>
      <c r="H151" s="3"/>
      <c r="I151" s="3"/>
      <c r="J151" s="3"/>
      <c r="K151" s="3"/>
      <c r="L151" s="3"/>
      <c r="M151" s="3"/>
      <c r="N151" s="3"/>
      <c r="O151" s="3"/>
      <c r="P151" s="3"/>
      <c r="Q151" s="3"/>
      <c r="R151" s="3"/>
      <c r="S151" s="3"/>
      <c r="T151" s="3"/>
      <c r="U151" s="3"/>
      <c r="V151" s="3"/>
      <c r="W151" s="3"/>
      <c r="X151" s="3"/>
      <c r="Y151" s="3"/>
      <c r="Z151" s="3"/>
    </row>
    <row r="152" ht="12.75" customHeight="1">
      <c r="A152" s="3"/>
      <c r="B152" s="4"/>
      <c r="C152" s="6"/>
      <c r="D152" s="6"/>
      <c r="E152" s="6"/>
      <c r="F152" s="6"/>
      <c r="G152" s="3"/>
      <c r="H152" s="3"/>
      <c r="I152" s="3"/>
      <c r="J152" s="3"/>
      <c r="K152" s="3"/>
      <c r="L152" s="3"/>
      <c r="M152" s="3"/>
      <c r="N152" s="3"/>
      <c r="O152" s="3"/>
      <c r="P152" s="3"/>
      <c r="Q152" s="3"/>
      <c r="R152" s="3"/>
      <c r="S152" s="3"/>
      <c r="T152" s="3"/>
      <c r="U152" s="3"/>
      <c r="V152" s="3"/>
      <c r="W152" s="3"/>
      <c r="X152" s="3"/>
      <c r="Y152" s="3"/>
      <c r="Z152" s="3"/>
    </row>
    <row r="153" ht="12.75" customHeight="1">
      <c r="A153" s="3"/>
      <c r="B153" s="4"/>
      <c r="C153" s="6"/>
      <c r="D153" s="6"/>
      <c r="E153" s="6"/>
      <c r="F153" s="6"/>
      <c r="G153" s="3"/>
      <c r="H153" s="3"/>
      <c r="I153" s="3"/>
      <c r="J153" s="3"/>
      <c r="K153" s="3"/>
      <c r="L153" s="3"/>
      <c r="M153" s="3"/>
      <c r="N153" s="3"/>
      <c r="O153" s="3"/>
      <c r="P153" s="3"/>
      <c r="Q153" s="3"/>
      <c r="R153" s="3"/>
      <c r="S153" s="3"/>
      <c r="T153" s="3"/>
      <c r="U153" s="3"/>
      <c r="V153" s="3"/>
      <c r="W153" s="3"/>
      <c r="X153" s="3"/>
      <c r="Y153" s="3"/>
      <c r="Z153" s="3"/>
    </row>
    <row r="154" ht="12.75" customHeight="1">
      <c r="A154" s="3"/>
      <c r="B154" s="4"/>
      <c r="C154" s="6"/>
      <c r="D154" s="6"/>
      <c r="E154" s="6"/>
      <c r="F154" s="6"/>
      <c r="G154" s="3"/>
      <c r="H154" s="3"/>
      <c r="I154" s="3"/>
      <c r="J154" s="3"/>
      <c r="K154" s="3"/>
      <c r="L154" s="3"/>
      <c r="M154" s="3"/>
      <c r="N154" s="3"/>
      <c r="O154" s="3"/>
      <c r="P154" s="3"/>
      <c r="Q154" s="3"/>
      <c r="R154" s="3"/>
      <c r="S154" s="3"/>
      <c r="T154" s="3"/>
      <c r="U154" s="3"/>
      <c r="V154" s="3"/>
      <c r="W154" s="3"/>
      <c r="X154" s="3"/>
      <c r="Y154" s="3"/>
      <c r="Z154" s="3"/>
    </row>
    <row r="155" ht="12.75" customHeight="1">
      <c r="A155" s="3"/>
      <c r="B155" s="4"/>
      <c r="C155" s="6"/>
      <c r="D155" s="6"/>
      <c r="E155" s="6"/>
      <c r="F155" s="6"/>
      <c r="G155" s="3"/>
      <c r="H155" s="3"/>
      <c r="I155" s="3"/>
      <c r="J155" s="3"/>
      <c r="K155" s="3"/>
      <c r="L155" s="3"/>
      <c r="M155" s="3"/>
      <c r="N155" s="3"/>
      <c r="O155" s="3"/>
      <c r="P155" s="3"/>
      <c r="Q155" s="3"/>
      <c r="R155" s="3"/>
      <c r="S155" s="3"/>
      <c r="T155" s="3"/>
      <c r="U155" s="3"/>
      <c r="V155" s="3"/>
      <c r="W155" s="3"/>
      <c r="X155" s="3"/>
      <c r="Y155" s="3"/>
      <c r="Z155" s="3"/>
    </row>
    <row r="156" ht="12.75" customHeight="1">
      <c r="A156" s="3"/>
      <c r="B156" s="4"/>
      <c r="C156" s="6"/>
      <c r="D156" s="6"/>
      <c r="E156" s="6"/>
      <c r="F156" s="6"/>
      <c r="G156" s="3"/>
      <c r="H156" s="3"/>
      <c r="I156" s="3"/>
      <c r="J156" s="3"/>
      <c r="K156" s="3"/>
      <c r="L156" s="3"/>
      <c r="M156" s="3"/>
      <c r="N156" s="3"/>
      <c r="O156" s="3"/>
      <c r="P156" s="3"/>
      <c r="Q156" s="3"/>
      <c r="R156" s="3"/>
      <c r="S156" s="3"/>
      <c r="T156" s="3"/>
      <c r="U156" s="3"/>
      <c r="V156" s="3"/>
      <c r="W156" s="3"/>
      <c r="X156" s="3"/>
      <c r="Y156" s="3"/>
      <c r="Z156" s="3"/>
    </row>
    <row r="157" ht="12.75" customHeight="1">
      <c r="A157" s="3"/>
      <c r="B157" s="4"/>
      <c r="C157" s="6"/>
      <c r="D157" s="6"/>
      <c r="E157" s="6"/>
      <c r="F157" s="6"/>
      <c r="G157" s="3"/>
      <c r="H157" s="3"/>
      <c r="I157" s="3"/>
      <c r="J157" s="3"/>
      <c r="K157" s="3"/>
      <c r="L157" s="3"/>
      <c r="M157" s="3"/>
      <c r="N157" s="3"/>
      <c r="O157" s="3"/>
      <c r="P157" s="3"/>
      <c r="Q157" s="3"/>
      <c r="R157" s="3"/>
      <c r="S157" s="3"/>
      <c r="T157" s="3"/>
      <c r="U157" s="3"/>
      <c r="V157" s="3"/>
      <c r="W157" s="3"/>
      <c r="X157" s="3"/>
      <c r="Y157" s="3"/>
      <c r="Z157" s="3"/>
    </row>
    <row r="158" ht="12.75" customHeight="1">
      <c r="A158" s="3"/>
      <c r="B158" s="4"/>
      <c r="C158" s="6"/>
      <c r="D158" s="6"/>
      <c r="E158" s="6"/>
      <c r="F158" s="6"/>
      <c r="G158" s="3"/>
      <c r="H158" s="3"/>
      <c r="I158" s="3"/>
      <c r="J158" s="3"/>
      <c r="K158" s="3"/>
      <c r="L158" s="3"/>
      <c r="M158" s="3"/>
      <c r="N158" s="3"/>
      <c r="O158" s="3"/>
      <c r="P158" s="3"/>
      <c r="Q158" s="3"/>
      <c r="R158" s="3"/>
      <c r="S158" s="3"/>
      <c r="T158" s="3"/>
      <c r="U158" s="3"/>
      <c r="V158" s="3"/>
      <c r="W158" s="3"/>
      <c r="X158" s="3"/>
      <c r="Y158" s="3"/>
      <c r="Z158" s="3"/>
    </row>
    <row r="159" ht="12.75" customHeight="1">
      <c r="A159" s="3"/>
      <c r="B159" s="4"/>
      <c r="C159" s="6"/>
      <c r="D159" s="6"/>
      <c r="E159" s="6"/>
      <c r="F159" s="6"/>
      <c r="G159" s="3"/>
      <c r="H159" s="3"/>
      <c r="I159" s="3"/>
      <c r="J159" s="3"/>
      <c r="K159" s="3"/>
      <c r="L159" s="3"/>
      <c r="M159" s="3"/>
      <c r="N159" s="3"/>
      <c r="O159" s="3"/>
      <c r="P159" s="3"/>
      <c r="Q159" s="3"/>
      <c r="R159" s="3"/>
      <c r="S159" s="3"/>
      <c r="T159" s="3"/>
      <c r="U159" s="3"/>
      <c r="V159" s="3"/>
      <c r="W159" s="3"/>
      <c r="X159" s="3"/>
      <c r="Y159" s="3"/>
      <c r="Z159" s="3"/>
    </row>
    <row r="160" ht="12.75" customHeight="1">
      <c r="A160" s="3"/>
      <c r="B160" s="4"/>
      <c r="C160" s="6"/>
      <c r="D160" s="6"/>
      <c r="E160" s="6"/>
      <c r="F160" s="6"/>
      <c r="G160" s="3"/>
      <c r="H160" s="3"/>
      <c r="I160" s="3"/>
      <c r="J160" s="3"/>
      <c r="K160" s="3"/>
      <c r="L160" s="3"/>
      <c r="M160" s="3"/>
      <c r="N160" s="3"/>
      <c r="O160" s="3"/>
      <c r="P160" s="3"/>
      <c r="Q160" s="3"/>
      <c r="R160" s="3"/>
      <c r="S160" s="3"/>
      <c r="T160" s="3"/>
      <c r="U160" s="3"/>
      <c r="V160" s="3"/>
      <c r="W160" s="3"/>
      <c r="X160" s="3"/>
      <c r="Y160" s="3"/>
      <c r="Z160" s="3"/>
    </row>
    <row r="161" ht="12.75" customHeight="1">
      <c r="A161" s="3"/>
      <c r="B161" s="4"/>
      <c r="C161" s="6"/>
      <c r="D161" s="6"/>
      <c r="E161" s="6"/>
      <c r="F161" s="6"/>
      <c r="G161" s="3"/>
      <c r="H161" s="3"/>
      <c r="I161" s="3"/>
      <c r="J161" s="3"/>
      <c r="K161" s="3"/>
      <c r="L161" s="3"/>
      <c r="M161" s="3"/>
      <c r="N161" s="3"/>
      <c r="O161" s="3"/>
      <c r="P161" s="3"/>
      <c r="Q161" s="3"/>
      <c r="R161" s="3"/>
      <c r="S161" s="3"/>
      <c r="T161" s="3"/>
      <c r="U161" s="3"/>
      <c r="V161" s="3"/>
      <c r="W161" s="3"/>
      <c r="X161" s="3"/>
      <c r="Y161" s="3"/>
      <c r="Z161" s="3"/>
    </row>
    <row r="162" ht="12.75" customHeight="1">
      <c r="A162" s="3"/>
      <c r="B162" s="4"/>
      <c r="C162" s="6"/>
      <c r="D162" s="6"/>
      <c r="E162" s="6"/>
      <c r="F162" s="6"/>
      <c r="G162" s="3"/>
      <c r="H162" s="3"/>
      <c r="I162" s="3"/>
      <c r="J162" s="3"/>
      <c r="K162" s="3"/>
      <c r="L162" s="3"/>
      <c r="M162" s="3"/>
      <c r="N162" s="3"/>
      <c r="O162" s="3"/>
      <c r="P162" s="3"/>
      <c r="Q162" s="3"/>
      <c r="R162" s="3"/>
      <c r="S162" s="3"/>
      <c r="T162" s="3"/>
      <c r="U162" s="3"/>
      <c r="V162" s="3"/>
      <c r="W162" s="3"/>
      <c r="X162" s="3"/>
      <c r="Y162" s="3"/>
      <c r="Z162" s="3"/>
    </row>
    <row r="163" ht="12.75" customHeight="1">
      <c r="A163" s="3"/>
      <c r="B163" s="4"/>
      <c r="C163" s="6"/>
      <c r="D163" s="6"/>
      <c r="E163" s="6"/>
      <c r="F163" s="6"/>
      <c r="G163" s="3"/>
      <c r="H163" s="3"/>
      <c r="I163" s="3"/>
      <c r="J163" s="3"/>
      <c r="K163" s="3"/>
      <c r="L163" s="3"/>
      <c r="M163" s="3"/>
      <c r="N163" s="3"/>
      <c r="O163" s="3"/>
      <c r="P163" s="3"/>
      <c r="Q163" s="3"/>
      <c r="R163" s="3"/>
      <c r="S163" s="3"/>
      <c r="T163" s="3"/>
      <c r="U163" s="3"/>
      <c r="V163" s="3"/>
      <c r="W163" s="3"/>
      <c r="X163" s="3"/>
      <c r="Y163" s="3"/>
      <c r="Z163" s="3"/>
    </row>
    <row r="164" ht="12.75" customHeight="1">
      <c r="A164" s="3"/>
      <c r="B164" s="4"/>
      <c r="C164" s="6"/>
      <c r="D164" s="6"/>
      <c r="E164" s="6"/>
      <c r="F164" s="6"/>
      <c r="G164" s="3"/>
      <c r="H164" s="3"/>
      <c r="I164" s="3"/>
      <c r="J164" s="3"/>
      <c r="K164" s="3"/>
      <c r="L164" s="3"/>
      <c r="M164" s="3"/>
      <c r="N164" s="3"/>
      <c r="O164" s="3"/>
      <c r="P164" s="3"/>
      <c r="Q164" s="3"/>
      <c r="R164" s="3"/>
      <c r="S164" s="3"/>
      <c r="T164" s="3"/>
      <c r="U164" s="3"/>
      <c r="V164" s="3"/>
      <c r="W164" s="3"/>
      <c r="X164" s="3"/>
      <c r="Y164" s="3"/>
      <c r="Z164" s="3"/>
    </row>
    <row r="165" ht="12.75" customHeight="1">
      <c r="A165" s="3"/>
      <c r="B165" s="4"/>
      <c r="C165" s="6"/>
      <c r="D165" s="6"/>
      <c r="E165" s="6"/>
      <c r="F165" s="6"/>
      <c r="G165" s="3"/>
      <c r="H165" s="3"/>
      <c r="I165" s="3"/>
      <c r="J165" s="3"/>
      <c r="K165" s="3"/>
      <c r="L165" s="3"/>
      <c r="M165" s="3"/>
      <c r="N165" s="3"/>
      <c r="O165" s="3"/>
      <c r="P165" s="3"/>
      <c r="Q165" s="3"/>
      <c r="R165" s="3"/>
      <c r="S165" s="3"/>
      <c r="T165" s="3"/>
      <c r="U165" s="3"/>
      <c r="V165" s="3"/>
      <c r="W165" s="3"/>
      <c r="X165" s="3"/>
      <c r="Y165" s="3"/>
      <c r="Z165" s="3"/>
    </row>
    <row r="166" ht="12.75" customHeight="1">
      <c r="A166" s="3"/>
      <c r="B166" s="4"/>
      <c r="C166" s="6"/>
      <c r="D166" s="6"/>
      <c r="E166" s="6"/>
      <c r="F166" s="6"/>
      <c r="G166" s="3"/>
      <c r="H166" s="3"/>
      <c r="I166" s="3"/>
      <c r="J166" s="3"/>
      <c r="K166" s="3"/>
      <c r="L166" s="3"/>
      <c r="M166" s="3"/>
      <c r="N166" s="3"/>
      <c r="O166" s="3"/>
      <c r="P166" s="3"/>
      <c r="Q166" s="3"/>
      <c r="R166" s="3"/>
      <c r="S166" s="3"/>
      <c r="T166" s="3"/>
      <c r="U166" s="3"/>
      <c r="V166" s="3"/>
      <c r="W166" s="3"/>
      <c r="X166" s="3"/>
      <c r="Y166" s="3"/>
      <c r="Z166" s="3"/>
    </row>
    <row r="167" ht="12.75" customHeight="1">
      <c r="A167" s="3"/>
      <c r="B167" s="4"/>
      <c r="C167" s="6"/>
      <c r="D167" s="6"/>
      <c r="E167" s="6"/>
      <c r="F167" s="6"/>
      <c r="G167" s="3"/>
      <c r="H167" s="3"/>
      <c r="I167" s="3"/>
      <c r="J167" s="3"/>
      <c r="K167" s="3"/>
      <c r="L167" s="3"/>
      <c r="M167" s="3"/>
      <c r="N167" s="3"/>
      <c r="O167" s="3"/>
      <c r="P167" s="3"/>
      <c r="Q167" s="3"/>
      <c r="R167" s="3"/>
      <c r="S167" s="3"/>
      <c r="T167" s="3"/>
      <c r="U167" s="3"/>
      <c r="V167" s="3"/>
      <c r="W167" s="3"/>
      <c r="X167" s="3"/>
      <c r="Y167" s="3"/>
      <c r="Z167" s="3"/>
    </row>
    <row r="168" ht="12.75" customHeight="1">
      <c r="A168" s="3"/>
      <c r="B168" s="4"/>
      <c r="C168" s="6"/>
      <c r="D168" s="6"/>
      <c r="E168" s="6"/>
      <c r="F168" s="6"/>
      <c r="G168" s="3"/>
      <c r="H168" s="3"/>
      <c r="I168" s="3"/>
      <c r="J168" s="3"/>
      <c r="K168" s="3"/>
      <c r="L168" s="3"/>
      <c r="M168" s="3"/>
      <c r="N168" s="3"/>
      <c r="O168" s="3"/>
      <c r="P168" s="3"/>
      <c r="Q168" s="3"/>
      <c r="R168" s="3"/>
      <c r="S168" s="3"/>
      <c r="T168" s="3"/>
      <c r="U168" s="3"/>
      <c r="V168" s="3"/>
      <c r="W168" s="3"/>
      <c r="X168" s="3"/>
      <c r="Y168" s="3"/>
      <c r="Z168" s="3"/>
    </row>
    <row r="169" ht="12.75" customHeight="1">
      <c r="A169" s="3"/>
      <c r="B169" s="4"/>
      <c r="C169" s="6"/>
      <c r="D169" s="6"/>
      <c r="E169" s="6"/>
      <c r="F169" s="6"/>
      <c r="G169" s="3"/>
      <c r="H169" s="3"/>
      <c r="I169" s="3"/>
      <c r="J169" s="3"/>
      <c r="K169" s="3"/>
      <c r="L169" s="3"/>
      <c r="M169" s="3"/>
      <c r="N169" s="3"/>
      <c r="O169" s="3"/>
      <c r="P169" s="3"/>
      <c r="Q169" s="3"/>
      <c r="R169" s="3"/>
      <c r="S169" s="3"/>
      <c r="T169" s="3"/>
      <c r="U169" s="3"/>
      <c r="V169" s="3"/>
      <c r="W169" s="3"/>
      <c r="X169" s="3"/>
      <c r="Y169" s="3"/>
      <c r="Z169" s="3"/>
    </row>
    <row r="170" ht="12.75" customHeight="1">
      <c r="A170" s="3"/>
      <c r="B170" s="4"/>
      <c r="C170" s="6"/>
      <c r="D170" s="6"/>
      <c r="E170" s="6"/>
      <c r="F170" s="6"/>
      <c r="G170" s="3"/>
      <c r="H170" s="3"/>
      <c r="I170" s="3"/>
      <c r="J170" s="3"/>
      <c r="K170" s="3"/>
      <c r="L170" s="3"/>
      <c r="M170" s="3"/>
      <c r="N170" s="3"/>
      <c r="O170" s="3"/>
      <c r="P170" s="3"/>
      <c r="Q170" s="3"/>
      <c r="R170" s="3"/>
      <c r="S170" s="3"/>
      <c r="T170" s="3"/>
      <c r="U170" s="3"/>
      <c r="V170" s="3"/>
      <c r="W170" s="3"/>
      <c r="X170" s="3"/>
      <c r="Y170" s="3"/>
      <c r="Z170" s="3"/>
    </row>
    <row r="171" ht="12.75" customHeight="1">
      <c r="A171" s="3"/>
      <c r="B171" s="4"/>
      <c r="C171" s="6"/>
      <c r="D171" s="6"/>
      <c r="E171" s="6"/>
      <c r="F171" s="6"/>
      <c r="G171" s="3"/>
      <c r="H171" s="3"/>
      <c r="I171" s="3"/>
      <c r="J171" s="3"/>
      <c r="K171" s="3"/>
      <c r="L171" s="3"/>
      <c r="M171" s="3"/>
      <c r="N171" s="3"/>
      <c r="O171" s="3"/>
      <c r="P171" s="3"/>
      <c r="Q171" s="3"/>
      <c r="R171" s="3"/>
      <c r="S171" s="3"/>
      <c r="T171" s="3"/>
      <c r="U171" s="3"/>
      <c r="V171" s="3"/>
      <c r="W171" s="3"/>
      <c r="X171" s="3"/>
      <c r="Y171" s="3"/>
      <c r="Z171" s="3"/>
    </row>
    <row r="172" ht="12.75" customHeight="1">
      <c r="A172" s="3"/>
      <c r="B172" s="4"/>
      <c r="C172" s="6"/>
      <c r="D172" s="6"/>
      <c r="E172" s="6"/>
      <c r="F172" s="6"/>
      <c r="G172" s="3"/>
      <c r="H172" s="3"/>
      <c r="I172" s="3"/>
      <c r="J172" s="3"/>
      <c r="K172" s="3"/>
      <c r="L172" s="3"/>
      <c r="M172" s="3"/>
      <c r="N172" s="3"/>
      <c r="O172" s="3"/>
      <c r="P172" s="3"/>
      <c r="Q172" s="3"/>
      <c r="R172" s="3"/>
      <c r="S172" s="3"/>
      <c r="T172" s="3"/>
      <c r="U172" s="3"/>
      <c r="V172" s="3"/>
      <c r="W172" s="3"/>
      <c r="X172" s="3"/>
      <c r="Y172" s="3"/>
      <c r="Z172" s="3"/>
    </row>
    <row r="173" ht="12.75" customHeight="1">
      <c r="A173" s="3"/>
      <c r="B173" s="4"/>
      <c r="C173" s="6"/>
      <c r="D173" s="6"/>
      <c r="E173" s="6"/>
      <c r="F173" s="6"/>
      <c r="G173" s="3"/>
      <c r="H173" s="3"/>
      <c r="I173" s="3"/>
      <c r="J173" s="3"/>
      <c r="K173" s="3"/>
      <c r="L173" s="3"/>
      <c r="M173" s="3"/>
      <c r="N173" s="3"/>
      <c r="O173" s="3"/>
      <c r="P173" s="3"/>
      <c r="Q173" s="3"/>
      <c r="R173" s="3"/>
      <c r="S173" s="3"/>
      <c r="T173" s="3"/>
      <c r="U173" s="3"/>
      <c r="V173" s="3"/>
      <c r="W173" s="3"/>
      <c r="X173" s="3"/>
      <c r="Y173" s="3"/>
      <c r="Z173" s="3"/>
    </row>
    <row r="174" ht="12.75" customHeight="1">
      <c r="A174" s="3"/>
      <c r="B174" s="4"/>
      <c r="C174" s="6"/>
      <c r="D174" s="6"/>
      <c r="E174" s="6"/>
      <c r="F174" s="6"/>
      <c r="G174" s="3"/>
      <c r="H174" s="3"/>
      <c r="I174" s="3"/>
      <c r="J174" s="3"/>
      <c r="K174" s="3"/>
      <c r="L174" s="3"/>
      <c r="M174" s="3"/>
      <c r="N174" s="3"/>
      <c r="O174" s="3"/>
      <c r="P174" s="3"/>
      <c r="Q174" s="3"/>
      <c r="R174" s="3"/>
      <c r="S174" s="3"/>
      <c r="T174" s="3"/>
      <c r="U174" s="3"/>
      <c r="V174" s="3"/>
      <c r="W174" s="3"/>
      <c r="X174" s="3"/>
      <c r="Y174" s="3"/>
      <c r="Z174" s="3"/>
    </row>
    <row r="175" ht="12.75" customHeight="1">
      <c r="A175" s="3"/>
      <c r="B175" s="4"/>
      <c r="C175" s="6"/>
      <c r="D175" s="6"/>
      <c r="E175" s="6"/>
      <c r="F175" s="6"/>
      <c r="G175" s="3"/>
      <c r="H175" s="3"/>
      <c r="I175" s="3"/>
      <c r="J175" s="3"/>
      <c r="K175" s="3"/>
      <c r="L175" s="3"/>
      <c r="M175" s="3"/>
      <c r="N175" s="3"/>
      <c r="O175" s="3"/>
      <c r="P175" s="3"/>
      <c r="Q175" s="3"/>
      <c r="R175" s="3"/>
      <c r="S175" s="3"/>
      <c r="T175" s="3"/>
      <c r="U175" s="3"/>
      <c r="V175" s="3"/>
      <c r="W175" s="3"/>
      <c r="X175" s="3"/>
      <c r="Y175" s="3"/>
      <c r="Z175" s="3"/>
    </row>
    <row r="176" ht="12.75" customHeight="1">
      <c r="A176" s="3"/>
      <c r="B176" s="4"/>
      <c r="C176" s="6"/>
      <c r="D176" s="6"/>
      <c r="E176" s="6"/>
      <c r="F176" s="6"/>
      <c r="G176" s="3"/>
      <c r="H176" s="3"/>
      <c r="I176" s="3"/>
      <c r="J176" s="3"/>
      <c r="K176" s="3"/>
      <c r="L176" s="3"/>
      <c r="M176" s="3"/>
      <c r="N176" s="3"/>
      <c r="O176" s="3"/>
      <c r="P176" s="3"/>
      <c r="Q176" s="3"/>
      <c r="R176" s="3"/>
      <c r="S176" s="3"/>
      <c r="T176" s="3"/>
      <c r="U176" s="3"/>
      <c r="V176" s="3"/>
      <c r="W176" s="3"/>
      <c r="X176" s="3"/>
      <c r="Y176" s="3"/>
      <c r="Z176" s="3"/>
    </row>
    <row r="177" ht="12.75" customHeight="1">
      <c r="A177" s="3"/>
      <c r="B177" s="4"/>
      <c r="C177" s="6"/>
      <c r="D177" s="6"/>
      <c r="E177" s="6"/>
      <c r="F177" s="6"/>
      <c r="G177" s="3"/>
      <c r="H177" s="3"/>
      <c r="I177" s="3"/>
      <c r="J177" s="3"/>
      <c r="K177" s="3"/>
      <c r="L177" s="3"/>
      <c r="M177" s="3"/>
      <c r="N177" s="3"/>
      <c r="O177" s="3"/>
      <c r="P177" s="3"/>
      <c r="Q177" s="3"/>
      <c r="R177" s="3"/>
      <c r="S177" s="3"/>
      <c r="T177" s="3"/>
      <c r="U177" s="3"/>
      <c r="V177" s="3"/>
      <c r="W177" s="3"/>
      <c r="X177" s="3"/>
      <c r="Y177" s="3"/>
      <c r="Z177" s="3"/>
    </row>
    <row r="178" ht="12.75" customHeight="1">
      <c r="A178" s="3"/>
      <c r="B178" s="4"/>
      <c r="C178" s="6"/>
      <c r="D178" s="6"/>
      <c r="E178" s="6"/>
      <c r="F178" s="6"/>
      <c r="G178" s="3"/>
      <c r="H178" s="3"/>
      <c r="I178" s="3"/>
      <c r="J178" s="3"/>
      <c r="K178" s="3"/>
      <c r="L178" s="3"/>
      <c r="M178" s="3"/>
      <c r="N178" s="3"/>
      <c r="O178" s="3"/>
      <c r="P178" s="3"/>
      <c r="Q178" s="3"/>
      <c r="R178" s="3"/>
      <c r="S178" s="3"/>
      <c r="T178" s="3"/>
      <c r="U178" s="3"/>
      <c r="V178" s="3"/>
      <c r="W178" s="3"/>
      <c r="X178" s="3"/>
      <c r="Y178" s="3"/>
      <c r="Z178" s="3"/>
    </row>
    <row r="179" ht="12.75" customHeight="1">
      <c r="A179" s="3"/>
      <c r="B179" s="4"/>
      <c r="C179" s="6"/>
      <c r="D179" s="6"/>
      <c r="E179" s="6"/>
      <c r="F179" s="6"/>
      <c r="G179" s="3"/>
      <c r="H179" s="3"/>
      <c r="I179" s="3"/>
      <c r="J179" s="3"/>
      <c r="K179" s="3"/>
      <c r="L179" s="3"/>
      <c r="M179" s="3"/>
      <c r="N179" s="3"/>
      <c r="O179" s="3"/>
      <c r="P179" s="3"/>
      <c r="Q179" s="3"/>
      <c r="R179" s="3"/>
      <c r="S179" s="3"/>
      <c r="T179" s="3"/>
      <c r="U179" s="3"/>
      <c r="V179" s="3"/>
      <c r="W179" s="3"/>
      <c r="X179" s="3"/>
      <c r="Y179" s="3"/>
      <c r="Z179" s="3"/>
    </row>
    <row r="180" ht="12.75" customHeight="1">
      <c r="A180" s="3"/>
      <c r="B180" s="4"/>
      <c r="C180" s="6"/>
      <c r="D180" s="6"/>
      <c r="E180" s="6"/>
      <c r="F180" s="6"/>
      <c r="G180" s="3"/>
      <c r="H180" s="3"/>
      <c r="I180" s="3"/>
      <c r="J180" s="3"/>
      <c r="K180" s="3"/>
      <c r="L180" s="3"/>
      <c r="M180" s="3"/>
      <c r="N180" s="3"/>
      <c r="O180" s="3"/>
      <c r="P180" s="3"/>
      <c r="Q180" s="3"/>
      <c r="R180" s="3"/>
      <c r="S180" s="3"/>
      <c r="T180" s="3"/>
      <c r="U180" s="3"/>
      <c r="V180" s="3"/>
      <c r="W180" s="3"/>
      <c r="X180" s="3"/>
      <c r="Y180" s="3"/>
      <c r="Z180" s="3"/>
    </row>
    <row r="181" ht="12.75" customHeight="1">
      <c r="A181" s="3"/>
      <c r="B181" s="4"/>
      <c r="C181" s="6"/>
      <c r="D181" s="6"/>
      <c r="E181" s="6"/>
      <c r="F181" s="6"/>
      <c r="G181" s="3"/>
      <c r="H181" s="3"/>
      <c r="I181" s="3"/>
      <c r="J181" s="3"/>
      <c r="K181" s="3"/>
      <c r="L181" s="3"/>
      <c r="M181" s="3"/>
      <c r="N181" s="3"/>
      <c r="O181" s="3"/>
      <c r="P181" s="3"/>
      <c r="Q181" s="3"/>
      <c r="R181" s="3"/>
      <c r="S181" s="3"/>
      <c r="T181" s="3"/>
      <c r="U181" s="3"/>
      <c r="V181" s="3"/>
      <c r="W181" s="3"/>
      <c r="X181" s="3"/>
      <c r="Y181" s="3"/>
      <c r="Z181" s="3"/>
    </row>
    <row r="182" ht="12.75" customHeight="1">
      <c r="A182" s="3"/>
      <c r="B182" s="4"/>
      <c r="C182" s="6"/>
      <c r="D182" s="6"/>
      <c r="E182" s="6"/>
      <c r="F182" s="6"/>
      <c r="G182" s="3"/>
      <c r="H182" s="3"/>
      <c r="I182" s="3"/>
      <c r="J182" s="3"/>
      <c r="K182" s="3"/>
      <c r="L182" s="3"/>
      <c r="M182" s="3"/>
      <c r="N182" s="3"/>
      <c r="O182" s="3"/>
      <c r="P182" s="3"/>
      <c r="Q182" s="3"/>
      <c r="R182" s="3"/>
      <c r="S182" s="3"/>
      <c r="T182" s="3"/>
      <c r="U182" s="3"/>
      <c r="V182" s="3"/>
      <c r="W182" s="3"/>
      <c r="X182" s="3"/>
      <c r="Y182" s="3"/>
      <c r="Z182" s="3"/>
    </row>
    <row r="183" ht="12.75" customHeight="1">
      <c r="A183" s="3"/>
      <c r="B183" s="4"/>
      <c r="C183" s="6"/>
      <c r="D183" s="6"/>
      <c r="E183" s="6"/>
      <c r="F183" s="6"/>
      <c r="G183" s="3"/>
      <c r="H183" s="3"/>
      <c r="I183" s="3"/>
      <c r="J183" s="3"/>
      <c r="K183" s="3"/>
      <c r="L183" s="3"/>
      <c r="M183" s="3"/>
      <c r="N183" s="3"/>
      <c r="O183" s="3"/>
      <c r="P183" s="3"/>
      <c r="Q183" s="3"/>
      <c r="R183" s="3"/>
      <c r="S183" s="3"/>
      <c r="T183" s="3"/>
      <c r="U183" s="3"/>
      <c r="V183" s="3"/>
      <c r="W183" s="3"/>
      <c r="X183" s="3"/>
      <c r="Y183" s="3"/>
      <c r="Z183" s="3"/>
    </row>
    <row r="184" ht="12.75" customHeight="1">
      <c r="A184" s="3"/>
      <c r="B184" s="4"/>
      <c r="C184" s="6"/>
      <c r="D184" s="6"/>
      <c r="E184" s="6"/>
      <c r="F184" s="6"/>
      <c r="G184" s="3"/>
      <c r="H184" s="3"/>
      <c r="I184" s="3"/>
      <c r="J184" s="3"/>
      <c r="K184" s="3"/>
      <c r="L184" s="3"/>
      <c r="M184" s="3"/>
      <c r="N184" s="3"/>
      <c r="O184" s="3"/>
      <c r="P184" s="3"/>
      <c r="Q184" s="3"/>
      <c r="R184" s="3"/>
      <c r="S184" s="3"/>
      <c r="T184" s="3"/>
      <c r="U184" s="3"/>
      <c r="V184" s="3"/>
      <c r="W184" s="3"/>
      <c r="X184" s="3"/>
      <c r="Y184" s="3"/>
      <c r="Z184" s="3"/>
    </row>
    <row r="185" ht="12.75" customHeight="1">
      <c r="A185" s="3"/>
      <c r="B185" s="4"/>
      <c r="C185" s="6"/>
      <c r="D185" s="6"/>
      <c r="E185" s="6"/>
      <c r="F185" s="6"/>
      <c r="G185" s="3"/>
      <c r="H185" s="3"/>
      <c r="I185" s="3"/>
      <c r="J185" s="3"/>
      <c r="K185" s="3"/>
      <c r="L185" s="3"/>
      <c r="M185" s="3"/>
      <c r="N185" s="3"/>
      <c r="O185" s="3"/>
      <c r="P185" s="3"/>
      <c r="Q185" s="3"/>
      <c r="R185" s="3"/>
      <c r="S185" s="3"/>
      <c r="T185" s="3"/>
      <c r="U185" s="3"/>
      <c r="V185" s="3"/>
      <c r="W185" s="3"/>
      <c r="X185" s="3"/>
      <c r="Y185" s="3"/>
      <c r="Z185" s="3"/>
    </row>
    <row r="186" ht="12.75" customHeight="1">
      <c r="A186" s="3"/>
      <c r="B186" s="4"/>
      <c r="C186" s="6"/>
      <c r="D186" s="6"/>
      <c r="E186" s="6"/>
      <c r="F186" s="6"/>
      <c r="G186" s="3"/>
      <c r="H186" s="3"/>
      <c r="I186" s="3"/>
      <c r="J186" s="3"/>
      <c r="K186" s="3"/>
      <c r="L186" s="3"/>
      <c r="M186" s="3"/>
      <c r="N186" s="3"/>
      <c r="O186" s="3"/>
      <c r="P186" s="3"/>
      <c r="Q186" s="3"/>
      <c r="R186" s="3"/>
      <c r="S186" s="3"/>
      <c r="T186" s="3"/>
      <c r="U186" s="3"/>
      <c r="V186" s="3"/>
      <c r="W186" s="3"/>
      <c r="X186" s="3"/>
      <c r="Y186" s="3"/>
      <c r="Z186" s="3"/>
    </row>
    <row r="187" ht="12.75" customHeight="1">
      <c r="A187" s="3"/>
      <c r="B187" s="4"/>
      <c r="C187" s="6"/>
      <c r="D187" s="6"/>
      <c r="E187" s="6"/>
      <c r="F187" s="6"/>
      <c r="G187" s="3"/>
      <c r="H187" s="3"/>
      <c r="I187" s="3"/>
      <c r="J187" s="3"/>
      <c r="K187" s="3"/>
      <c r="L187" s="3"/>
      <c r="M187" s="3"/>
      <c r="N187" s="3"/>
      <c r="O187" s="3"/>
      <c r="P187" s="3"/>
      <c r="Q187" s="3"/>
      <c r="R187" s="3"/>
      <c r="S187" s="3"/>
      <c r="T187" s="3"/>
      <c r="U187" s="3"/>
      <c r="V187" s="3"/>
      <c r="W187" s="3"/>
      <c r="X187" s="3"/>
      <c r="Y187" s="3"/>
      <c r="Z187" s="3"/>
    </row>
    <row r="188" ht="12.75" customHeight="1">
      <c r="A188" s="3"/>
      <c r="B188" s="4"/>
      <c r="C188" s="6"/>
      <c r="D188" s="6"/>
      <c r="E188" s="6"/>
      <c r="F188" s="6"/>
      <c r="G188" s="3"/>
      <c r="H188" s="3"/>
      <c r="I188" s="3"/>
      <c r="J188" s="3"/>
      <c r="K188" s="3"/>
      <c r="L188" s="3"/>
      <c r="M188" s="3"/>
      <c r="N188" s="3"/>
      <c r="O188" s="3"/>
      <c r="P188" s="3"/>
      <c r="Q188" s="3"/>
      <c r="R188" s="3"/>
      <c r="S188" s="3"/>
      <c r="T188" s="3"/>
      <c r="U188" s="3"/>
      <c r="V188" s="3"/>
      <c r="W188" s="3"/>
      <c r="X188" s="3"/>
      <c r="Y188" s="3"/>
      <c r="Z188" s="3"/>
    </row>
    <row r="189" ht="12.75" customHeight="1">
      <c r="A189" s="3"/>
      <c r="B189" s="4"/>
      <c r="C189" s="6"/>
      <c r="D189" s="6"/>
      <c r="E189" s="6"/>
      <c r="F189" s="6"/>
      <c r="G189" s="3"/>
      <c r="H189" s="3"/>
      <c r="I189" s="3"/>
      <c r="J189" s="3"/>
      <c r="K189" s="3"/>
      <c r="L189" s="3"/>
      <c r="M189" s="3"/>
      <c r="N189" s="3"/>
      <c r="O189" s="3"/>
      <c r="P189" s="3"/>
      <c r="Q189" s="3"/>
      <c r="R189" s="3"/>
      <c r="S189" s="3"/>
      <c r="T189" s="3"/>
      <c r="U189" s="3"/>
      <c r="V189" s="3"/>
      <c r="W189" s="3"/>
      <c r="X189" s="3"/>
      <c r="Y189" s="3"/>
      <c r="Z189" s="3"/>
    </row>
    <row r="190" ht="12.75" customHeight="1">
      <c r="A190" s="3"/>
      <c r="B190" s="4"/>
      <c r="C190" s="6"/>
      <c r="D190" s="6"/>
      <c r="E190" s="6"/>
      <c r="F190" s="6"/>
      <c r="G190" s="3"/>
      <c r="H190" s="3"/>
      <c r="I190" s="3"/>
      <c r="J190" s="3"/>
      <c r="K190" s="3"/>
      <c r="L190" s="3"/>
      <c r="M190" s="3"/>
      <c r="N190" s="3"/>
      <c r="O190" s="3"/>
      <c r="P190" s="3"/>
      <c r="Q190" s="3"/>
      <c r="R190" s="3"/>
      <c r="S190" s="3"/>
      <c r="T190" s="3"/>
      <c r="U190" s="3"/>
      <c r="V190" s="3"/>
      <c r="W190" s="3"/>
      <c r="X190" s="3"/>
      <c r="Y190" s="3"/>
      <c r="Z190" s="3"/>
    </row>
    <row r="191" ht="12.75" customHeight="1">
      <c r="A191" s="3"/>
      <c r="B191" s="4"/>
      <c r="C191" s="6"/>
      <c r="D191" s="6"/>
      <c r="E191" s="6"/>
      <c r="F191" s="6"/>
      <c r="G191" s="3"/>
      <c r="H191" s="3"/>
      <c r="I191" s="3"/>
      <c r="J191" s="3"/>
      <c r="K191" s="3"/>
      <c r="L191" s="3"/>
      <c r="M191" s="3"/>
      <c r="N191" s="3"/>
      <c r="O191" s="3"/>
      <c r="P191" s="3"/>
      <c r="Q191" s="3"/>
      <c r="R191" s="3"/>
      <c r="S191" s="3"/>
      <c r="T191" s="3"/>
      <c r="U191" s="3"/>
      <c r="V191" s="3"/>
      <c r="W191" s="3"/>
      <c r="X191" s="3"/>
      <c r="Y191" s="3"/>
      <c r="Z191" s="3"/>
    </row>
    <row r="192" ht="12.75" customHeight="1">
      <c r="A192" s="3"/>
      <c r="B192" s="4"/>
      <c r="C192" s="6"/>
      <c r="D192" s="6"/>
      <c r="E192" s="6"/>
      <c r="F192" s="6"/>
      <c r="G192" s="3"/>
      <c r="H192" s="3"/>
      <c r="I192" s="3"/>
      <c r="J192" s="3"/>
      <c r="K192" s="3"/>
      <c r="L192" s="3"/>
      <c r="M192" s="3"/>
      <c r="N192" s="3"/>
      <c r="O192" s="3"/>
      <c r="P192" s="3"/>
      <c r="Q192" s="3"/>
      <c r="R192" s="3"/>
      <c r="S192" s="3"/>
      <c r="T192" s="3"/>
      <c r="U192" s="3"/>
      <c r="V192" s="3"/>
      <c r="W192" s="3"/>
      <c r="X192" s="3"/>
      <c r="Y192" s="3"/>
      <c r="Z192" s="3"/>
    </row>
    <row r="193" ht="12.75" customHeight="1">
      <c r="A193" s="3"/>
      <c r="B193" s="4"/>
      <c r="C193" s="6"/>
      <c r="D193" s="6"/>
      <c r="E193" s="6"/>
      <c r="F193" s="6"/>
      <c r="G193" s="3"/>
      <c r="H193" s="3"/>
      <c r="I193" s="3"/>
      <c r="J193" s="3"/>
      <c r="K193" s="3"/>
      <c r="L193" s="3"/>
      <c r="M193" s="3"/>
      <c r="N193" s="3"/>
      <c r="O193" s="3"/>
      <c r="P193" s="3"/>
      <c r="Q193" s="3"/>
      <c r="R193" s="3"/>
      <c r="S193" s="3"/>
      <c r="T193" s="3"/>
      <c r="U193" s="3"/>
      <c r="V193" s="3"/>
      <c r="W193" s="3"/>
      <c r="X193" s="3"/>
      <c r="Y193" s="3"/>
      <c r="Z193" s="3"/>
    </row>
    <row r="194" ht="12.75" customHeight="1">
      <c r="A194" s="3"/>
      <c r="B194" s="4"/>
      <c r="C194" s="6"/>
      <c r="D194" s="6"/>
      <c r="E194" s="6"/>
      <c r="F194" s="6"/>
      <c r="G194" s="3"/>
      <c r="H194" s="3"/>
      <c r="I194" s="3"/>
      <c r="J194" s="3"/>
      <c r="K194" s="3"/>
      <c r="L194" s="3"/>
      <c r="M194" s="3"/>
      <c r="N194" s="3"/>
      <c r="O194" s="3"/>
      <c r="P194" s="3"/>
      <c r="Q194" s="3"/>
      <c r="R194" s="3"/>
      <c r="S194" s="3"/>
      <c r="T194" s="3"/>
      <c r="U194" s="3"/>
      <c r="V194" s="3"/>
      <c r="W194" s="3"/>
      <c r="X194" s="3"/>
      <c r="Y194" s="3"/>
      <c r="Z194" s="3"/>
    </row>
    <row r="195" ht="12.75" customHeight="1">
      <c r="A195" s="3"/>
      <c r="B195" s="4"/>
      <c r="C195" s="6"/>
      <c r="D195" s="6"/>
      <c r="E195" s="6"/>
      <c r="F195" s="6"/>
      <c r="G195" s="3"/>
      <c r="H195" s="3"/>
      <c r="I195" s="3"/>
      <c r="J195" s="3"/>
      <c r="K195" s="3"/>
      <c r="L195" s="3"/>
      <c r="M195" s="3"/>
      <c r="N195" s="3"/>
      <c r="O195" s="3"/>
      <c r="P195" s="3"/>
      <c r="Q195" s="3"/>
      <c r="R195" s="3"/>
      <c r="S195" s="3"/>
      <c r="T195" s="3"/>
      <c r="U195" s="3"/>
      <c r="V195" s="3"/>
      <c r="W195" s="3"/>
      <c r="X195" s="3"/>
      <c r="Y195" s="3"/>
      <c r="Z195" s="3"/>
    </row>
    <row r="196" ht="12.75" customHeight="1">
      <c r="A196" s="3"/>
      <c r="B196" s="4"/>
      <c r="C196" s="6"/>
      <c r="D196" s="6"/>
      <c r="E196" s="6"/>
      <c r="F196" s="6"/>
      <c r="G196" s="3"/>
      <c r="H196" s="3"/>
      <c r="I196" s="3"/>
      <c r="J196" s="3"/>
      <c r="K196" s="3"/>
      <c r="L196" s="3"/>
      <c r="M196" s="3"/>
      <c r="N196" s="3"/>
      <c r="O196" s="3"/>
      <c r="P196" s="3"/>
      <c r="Q196" s="3"/>
      <c r="R196" s="3"/>
      <c r="S196" s="3"/>
      <c r="T196" s="3"/>
      <c r="U196" s="3"/>
      <c r="V196" s="3"/>
      <c r="W196" s="3"/>
      <c r="X196" s="3"/>
      <c r="Y196" s="3"/>
      <c r="Z196" s="3"/>
    </row>
    <row r="197" ht="12.75" customHeight="1">
      <c r="A197" s="3"/>
      <c r="B197" s="4"/>
      <c r="C197" s="6"/>
      <c r="D197" s="6"/>
      <c r="E197" s="6"/>
      <c r="F197" s="6"/>
      <c r="G197" s="3"/>
      <c r="H197" s="3"/>
      <c r="I197" s="3"/>
      <c r="J197" s="3"/>
      <c r="K197" s="3"/>
      <c r="L197" s="3"/>
      <c r="M197" s="3"/>
      <c r="N197" s="3"/>
      <c r="O197" s="3"/>
      <c r="P197" s="3"/>
      <c r="Q197" s="3"/>
      <c r="R197" s="3"/>
      <c r="S197" s="3"/>
      <c r="T197" s="3"/>
      <c r="U197" s="3"/>
      <c r="V197" s="3"/>
      <c r="W197" s="3"/>
      <c r="X197" s="3"/>
      <c r="Y197" s="3"/>
      <c r="Z197" s="3"/>
    </row>
    <row r="198" ht="12.75" customHeight="1">
      <c r="A198" s="3"/>
      <c r="B198" s="4"/>
      <c r="C198" s="6"/>
      <c r="D198" s="6"/>
      <c r="E198" s="6"/>
      <c r="F198" s="6"/>
      <c r="G198" s="3"/>
      <c r="H198" s="3"/>
      <c r="I198" s="3"/>
      <c r="J198" s="3"/>
      <c r="K198" s="3"/>
      <c r="L198" s="3"/>
      <c r="M198" s="3"/>
      <c r="N198" s="3"/>
      <c r="O198" s="3"/>
      <c r="P198" s="3"/>
      <c r="Q198" s="3"/>
      <c r="R198" s="3"/>
      <c r="S198" s="3"/>
      <c r="T198" s="3"/>
      <c r="U198" s="3"/>
      <c r="V198" s="3"/>
      <c r="W198" s="3"/>
      <c r="X198" s="3"/>
      <c r="Y198" s="3"/>
      <c r="Z198" s="3"/>
    </row>
    <row r="199" ht="12.75" customHeight="1">
      <c r="A199" s="3"/>
      <c r="B199" s="4"/>
      <c r="C199" s="6"/>
      <c r="D199" s="6"/>
      <c r="E199" s="6"/>
      <c r="F199" s="6"/>
      <c r="G199" s="3"/>
      <c r="H199" s="3"/>
      <c r="I199" s="3"/>
      <c r="J199" s="3"/>
      <c r="K199" s="3"/>
      <c r="L199" s="3"/>
      <c r="M199" s="3"/>
      <c r="N199" s="3"/>
      <c r="O199" s="3"/>
      <c r="P199" s="3"/>
      <c r="Q199" s="3"/>
      <c r="R199" s="3"/>
      <c r="S199" s="3"/>
      <c r="T199" s="3"/>
      <c r="U199" s="3"/>
      <c r="V199" s="3"/>
      <c r="W199" s="3"/>
      <c r="X199" s="3"/>
      <c r="Y199" s="3"/>
      <c r="Z199" s="3"/>
    </row>
    <row r="200" ht="12.75" customHeight="1">
      <c r="A200" s="3"/>
      <c r="B200" s="4"/>
      <c r="C200" s="6"/>
      <c r="D200" s="6"/>
      <c r="E200" s="6"/>
      <c r="F200" s="6"/>
      <c r="G200" s="3"/>
      <c r="H200" s="3"/>
      <c r="I200" s="3"/>
      <c r="J200" s="3"/>
      <c r="K200" s="3"/>
      <c r="L200" s="3"/>
      <c r="M200" s="3"/>
      <c r="N200" s="3"/>
      <c r="O200" s="3"/>
      <c r="P200" s="3"/>
      <c r="Q200" s="3"/>
      <c r="R200" s="3"/>
      <c r="S200" s="3"/>
      <c r="T200" s="3"/>
      <c r="U200" s="3"/>
      <c r="V200" s="3"/>
      <c r="W200" s="3"/>
      <c r="X200" s="3"/>
      <c r="Y200" s="3"/>
      <c r="Z200" s="3"/>
    </row>
    <row r="201" ht="12.75" customHeight="1">
      <c r="A201" s="3"/>
      <c r="B201" s="4"/>
      <c r="C201" s="6"/>
      <c r="D201" s="6"/>
      <c r="E201" s="6"/>
      <c r="F201" s="6"/>
      <c r="G201" s="3"/>
      <c r="H201" s="3"/>
      <c r="I201" s="3"/>
      <c r="J201" s="3"/>
      <c r="K201" s="3"/>
      <c r="L201" s="3"/>
      <c r="M201" s="3"/>
      <c r="N201" s="3"/>
      <c r="O201" s="3"/>
      <c r="P201" s="3"/>
      <c r="Q201" s="3"/>
      <c r="R201" s="3"/>
      <c r="S201" s="3"/>
      <c r="T201" s="3"/>
      <c r="U201" s="3"/>
      <c r="V201" s="3"/>
      <c r="W201" s="3"/>
      <c r="X201" s="3"/>
      <c r="Y201" s="3"/>
      <c r="Z201" s="3"/>
    </row>
    <row r="202" ht="12.75" customHeight="1">
      <c r="A202" s="3"/>
      <c r="B202" s="4"/>
      <c r="C202" s="6"/>
      <c r="D202" s="6"/>
      <c r="E202" s="6"/>
      <c r="F202" s="6"/>
      <c r="G202" s="3"/>
      <c r="H202" s="3"/>
      <c r="I202" s="3"/>
      <c r="J202" s="3"/>
      <c r="K202" s="3"/>
      <c r="L202" s="3"/>
      <c r="M202" s="3"/>
      <c r="N202" s="3"/>
      <c r="O202" s="3"/>
      <c r="P202" s="3"/>
      <c r="Q202" s="3"/>
      <c r="R202" s="3"/>
      <c r="S202" s="3"/>
      <c r="T202" s="3"/>
      <c r="U202" s="3"/>
      <c r="V202" s="3"/>
      <c r="W202" s="3"/>
      <c r="X202" s="3"/>
      <c r="Y202" s="3"/>
      <c r="Z202" s="3"/>
    </row>
    <row r="203" ht="12.75" customHeight="1">
      <c r="A203" s="3"/>
      <c r="B203" s="4"/>
      <c r="C203" s="6"/>
      <c r="D203" s="6"/>
      <c r="E203" s="6"/>
      <c r="F203" s="6"/>
      <c r="G203" s="3"/>
      <c r="H203" s="3"/>
      <c r="I203" s="3"/>
      <c r="J203" s="3"/>
      <c r="K203" s="3"/>
      <c r="L203" s="3"/>
      <c r="M203" s="3"/>
      <c r="N203" s="3"/>
      <c r="O203" s="3"/>
      <c r="P203" s="3"/>
      <c r="Q203" s="3"/>
      <c r="R203" s="3"/>
      <c r="S203" s="3"/>
      <c r="T203" s="3"/>
      <c r="U203" s="3"/>
      <c r="V203" s="3"/>
      <c r="W203" s="3"/>
      <c r="X203" s="3"/>
      <c r="Y203" s="3"/>
      <c r="Z203" s="3"/>
    </row>
    <row r="204" ht="12.75" customHeight="1">
      <c r="A204" s="3"/>
      <c r="B204" s="4"/>
      <c r="C204" s="6"/>
      <c r="D204" s="6"/>
      <c r="E204" s="6"/>
      <c r="F204" s="6"/>
      <c r="G204" s="3"/>
      <c r="H204" s="3"/>
      <c r="I204" s="3"/>
      <c r="J204" s="3"/>
      <c r="K204" s="3"/>
      <c r="L204" s="3"/>
      <c r="M204" s="3"/>
      <c r="N204" s="3"/>
      <c r="O204" s="3"/>
      <c r="P204" s="3"/>
      <c r="Q204" s="3"/>
      <c r="R204" s="3"/>
      <c r="S204" s="3"/>
      <c r="T204" s="3"/>
      <c r="U204" s="3"/>
      <c r="V204" s="3"/>
      <c r="W204" s="3"/>
      <c r="X204" s="3"/>
      <c r="Y204" s="3"/>
      <c r="Z204" s="3"/>
    </row>
    <row r="205" ht="12.75" customHeight="1">
      <c r="A205" s="3"/>
      <c r="B205" s="4"/>
      <c r="C205" s="6"/>
      <c r="D205" s="6"/>
      <c r="E205" s="6"/>
      <c r="F205" s="6"/>
      <c r="G205" s="3"/>
      <c r="H205" s="3"/>
      <c r="I205" s="3"/>
      <c r="J205" s="3"/>
      <c r="K205" s="3"/>
      <c r="L205" s="3"/>
      <c r="M205" s="3"/>
      <c r="N205" s="3"/>
      <c r="O205" s="3"/>
      <c r="P205" s="3"/>
      <c r="Q205" s="3"/>
      <c r="R205" s="3"/>
      <c r="S205" s="3"/>
      <c r="T205" s="3"/>
      <c r="U205" s="3"/>
      <c r="V205" s="3"/>
      <c r="W205" s="3"/>
      <c r="X205" s="3"/>
      <c r="Y205" s="3"/>
      <c r="Z205" s="3"/>
    </row>
    <row r="206" ht="12.75" customHeight="1">
      <c r="A206" s="3"/>
      <c r="B206" s="4"/>
      <c r="C206" s="6"/>
      <c r="D206" s="6"/>
      <c r="E206" s="6"/>
      <c r="F206" s="6"/>
      <c r="G206" s="3"/>
      <c r="H206" s="3"/>
      <c r="I206" s="3"/>
      <c r="J206" s="3"/>
      <c r="K206" s="3"/>
      <c r="L206" s="3"/>
      <c r="M206" s="3"/>
      <c r="N206" s="3"/>
      <c r="O206" s="3"/>
      <c r="P206" s="3"/>
      <c r="Q206" s="3"/>
      <c r="R206" s="3"/>
      <c r="S206" s="3"/>
      <c r="T206" s="3"/>
      <c r="U206" s="3"/>
      <c r="V206" s="3"/>
      <c r="W206" s="3"/>
      <c r="X206" s="3"/>
      <c r="Y206" s="3"/>
      <c r="Z206" s="3"/>
    </row>
    <row r="207" ht="12.75" customHeight="1">
      <c r="A207" s="3"/>
      <c r="B207" s="4"/>
      <c r="C207" s="6"/>
      <c r="D207" s="6"/>
      <c r="E207" s="6"/>
      <c r="F207" s="6"/>
      <c r="G207" s="3"/>
      <c r="H207" s="3"/>
      <c r="I207" s="3"/>
      <c r="J207" s="3"/>
      <c r="K207" s="3"/>
      <c r="L207" s="3"/>
      <c r="M207" s="3"/>
      <c r="N207" s="3"/>
      <c r="O207" s="3"/>
      <c r="P207" s="3"/>
      <c r="Q207" s="3"/>
      <c r="R207" s="3"/>
      <c r="S207" s="3"/>
      <c r="T207" s="3"/>
      <c r="U207" s="3"/>
      <c r="V207" s="3"/>
      <c r="W207" s="3"/>
      <c r="X207" s="3"/>
      <c r="Y207" s="3"/>
      <c r="Z207" s="3"/>
    </row>
    <row r="208" ht="12.75" customHeight="1">
      <c r="A208" s="3"/>
      <c r="B208" s="4"/>
      <c r="C208" s="6"/>
      <c r="D208" s="6"/>
      <c r="E208" s="6"/>
      <c r="F208" s="6"/>
      <c r="G208" s="3"/>
      <c r="H208" s="3"/>
      <c r="I208" s="3"/>
      <c r="J208" s="3"/>
      <c r="K208" s="3"/>
      <c r="L208" s="3"/>
      <c r="M208" s="3"/>
      <c r="N208" s="3"/>
      <c r="O208" s="3"/>
      <c r="P208" s="3"/>
      <c r="Q208" s="3"/>
      <c r="R208" s="3"/>
      <c r="S208" s="3"/>
      <c r="T208" s="3"/>
      <c r="U208" s="3"/>
      <c r="V208" s="3"/>
      <c r="W208" s="3"/>
      <c r="X208" s="3"/>
      <c r="Y208" s="3"/>
      <c r="Z208" s="3"/>
    </row>
    <row r="209" ht="12.75" customHeight="1">
      <c r="A209" s="3"/>
      <c r="B209" s="4"/>
      <c r="C209" s="6"/>
      <c r="D209" s="6"/>
      <c r="E209" s="6"/>
      <c r="F209" s="6"/>
      <c r="G209" s="3"/>
      <c r="H209" s="3"/>
      <c r="I209" s="3"/>
      <c r="J209" s="3"/>
      <c r="K209" s="3"/>
      <c r="L209" s="3"/>
      <c r="M209" s="3"/>
      <c r="N209" s="3"/>
      <c r="O209" s="3"/>
      <c r="P209" s="3"/>
      <c r="Q209" s="3"/>
      <c r="R209" s="3"/>
      <c r="S209" s="3"/>
      <c r="T209" s="3"/>
      <c r="U209" s="3"/>
      <c r="V209" s="3"/>
      <c r="W209" s="3"/>
      <c r="X209" s="3"/>
      <c r="Y209" s="3"/>
      <c r="Z209" s="3"/>
    </row>
    <row r="210" ht="12.75" customHeight="1">
      <c r="A210" s="3"/>
      <c r="B210" s="4"/>
      <c r="C210" s="6"/>
      <c r="D210" s="6"/>
      <c r="E210" s="6"/>
      <c r="F210" s="6"/>
      <c r="G210" s="3"/>
      <c r="H210" s="3"/>
      <c r="I210" s="3"/>
      <c r="J210" s="3"/>
      <c r="K210" s="3"/>
      <c r="L210" s="3"/>
      <c r="M210" s="3"/>
      <c r="N210" s="3"/>
      <c r="O210" s="3"/>
      <c r="P210" s="3"/>
      <c r="Q210" s="3"/>
      <c r="R210" s="3"/>
      <c r="S210" s="3"/>
      <c r="T210" s="3"/>
      <c r="U210" s="3"/>
      <c r="V210" s="3"/>
      <c r="W210" s="3"/>
      <c r="X210" s="3"/>
      <c r="Y210" s="3"/>
      <c r="Z210" s="3"/>
    </row>
    <row r="211" ht="12.75" customHeight="1">
      <c r="A211" s="3"/>
      <c r="B211" s="4"/>
      <c r="C211" s="6"/>
      <c r="D211" s="6"/>
      <c r="E211" s="6"/>
      <c r="F211" s="6"/>
      <c r="G211" s="3"/>
      <c r="H211" s="3"/>
      <c r="I211" s="3"/>
      <c r="J211" s="3"/>
      <c r="K211" s="3"/>
      <c r="L211" s="3"/>
      <c r="M211" s="3"/>
      <c r="N211" s="3"/>
      <c r="O211" s="3"/>
      <c r="P211" s="3"/>
      <c r="Q211" s="3"/>
      <c r="R211" s="3"/>
      <c r="S211" s="3"/>
      <c r="T211" s="3"/>
      <c r="U211" s="3"/>
      <c r="V211" s="3"/>
      <c r="W211" s="3"/>
      <c r="X211" s="3"/>
      <c r="Y211" s="3"/>
      <c r="Z211" s="3"/>
    </row>
    <row r="212" ht="12.75" customHeight="1">
      <c r="A212" s="3"/>
      <c r="B212" s="4"/>
      <c r="C212" s="6"/>
      <c r="D212" s="6"/>
      <c r="E212" s="6"/>
      <c r="F212" s="6"/>
      <c r="G212" s="3"/>
      <c r="H212" s="3"/>
      <c r="I212" s="3"/>
      <c r="J212" s="3"/>
      <c r="K212" s="3"/>
      <c r="L212" s="3"/>
      <c r="M212" s="3"/>
      <c r="N212" s="3"/>
      <c r="O212" s="3"/>
      <c r="P212" s="3"/>
      <c r="Q212" s="3"/>
      <c r="R212" s="3"/>
      <c r="S212" s="3"/>
      <c r="T212" s="3"/>
      <c r="U212" s="3"/>
      <c r="V212" s="3"/>
      <c r="W212" s="3"/>
      <c r="X212" s="3"/>
      <c r="Y212" s="3"/>
      <c r="Z212" s="3"/>
    </row>
    <row r="213" ht="12.75" customHeight="1">
      <c r="A213" s="3"/>
      <c r="B213" s="4"/>
      <c r="C213" s="6"/>
      <c r="D213" s="6"/>
      <c r="E213" s="6"/>
      <c r="F213" s="6"/>
      <c r="G213" s="3"/>
      <c r="H213" s="3"/>
      <c r="I213" s="3"/>
      <c r="J213" s="3"/>
      <c r="K213" s="3"/>
      <c r="L213" s="3"/>
      <c r="M213" s="3"/>
      <c r="N213" s="3"/>
      <c r="O213" s="3"/>
      <c r="P213" s="3"/>
      <c r="Q213" s="3"/>
      <c r="R213" s="3"/>
      <c r="S213" s="3"/>
      <c r="T213" s="3"/>
      <c r="U213" s="3"/>
      <c r="V213" s="3"/>
      <c r="W213" s="3"/>
      <c r="X213" s="3"/>
      <c r="Y213" s="3"/>
      <c r="Z213" s="3"/>
    </row>
    <row r="214" ht="12.75" customHeight="1">
      <c r="A214" s="3"/>
      <c r="B214" s="4"/>
      <c r="C214" s="6"/>
      <c r="D214" s="6"/>
      <c r="E214" s="6"/>
      <c r="F214" s="6"/>
      <c r="G214" s="3"/>
      <c r="H214" s="3"/>
      <c r="I214" s="3"/>
      <c r="J214" s="3"/>
      <c r="K214" s="3"/>
      <c r="L214" s="3"/>
      <c r="M214" s="3"/>
      <c r="N214" s="3"/>
      <c r="O214" s="3"/>
      <c r="P214" s="3"/>
      <c r="Q214" s="3"/>
      <c r="R214" s="3"/>
      <c r="S214" s="3"/>
      <c r="T214" s="3"/>
      <c r="U214" s="3"/>
      <c r="V214" s="3"/>
      <c r="W214" s="3"/>
      <c r="X214" s="3"/>
      <c r="Y214" s="3"/>
      <c r="Z214" s="3"/>
    </row>
    <row r="215" ht="12.75" customHeight="1">
      <c r="A215" s="3"/>
      <c r="B215" s="4"/>
      <c r="C215" s="6"/>
      <c r="D215" s="6"/>
      <c r="E215" s="6"/>
      <c r="F215" s="6"/>
      <c r="G215" s="3"/>
      <c r="H215" s="3"/>
      <c r="I215" s="3"/>
      <c r="J215" s="3"/>
      <c r="K215" s="3"/>
      <c r="L215" s="3"/>
      <c r="M215" s="3"/>
      <c r="N215" s="3"/>
      <c r="O215" s="3"/>
      <c r="P215" s="3"/>
      <c r="Q215" s="3"/>
      <c r="R215" s="3"/>
      <c r="S215" s="3"/>
      <c r="T215" s="3"/>
      <c r="U215" s="3"/>
      <c r="V215" s="3"/>
      <c r="W215" s="3"/>
      <c r="X215" s="3"/>
      <c r="Y215" s="3"/>
      <c r="Z215" s="3"/>
    </row>
    <row r="216" ht="12.75" customHeight="1">
      <c r="A216" s="3"/>
      <c r="B216" s="4"/>
      <c r="C216" s="6"/>
      <c r="D216" s="6"/>
      <c r="E216" s="6"/>
      <c r="F216" s="6"/>
      <c r="G216" s="3"/>
      <c r="H216" s="3"/>
      <c r="I216" s="3"/>
      <c r="J216" s="3"/>
      <c r="K216" s="3"/>
      <c r="L216" s="3"/>
      <c r="M216" s="3"/>
      <c r="N216" s="3"/>
      <c r="O216" s="3"/>
      <c r="P216" s="3"/>
      <c r="Q216" s="3"/>
      <c r="R216" s="3"/>
      <c r="S216" s="3"/>
      <c r="T216" s="3"/>
      <c r="U216" s="3"/>
      <c r="V216" s="3"/>
      <c r="W216" s="3"/>
      <c r="X216" s="3"/>
      <c r="Y216" s="3"/>
      <c r="Z216" s="3"/>
    </row>
    <row r="217" ht="12.75" customHeight="1">
      <c r="A217" s="3"/>
      <c r="B217" s="4"/>
      <c r="C217" s="6"/>
      <c r="D217" s="6"/>
      <c r="E217" s="6"/>
      <c r="F217" s="6"/>
      <c r="G217" s="3"/>
      <c r="H217" s="3"/>
      <c r="I217" s="3"/>
      <c r="J217" s="3"/>
      <c r="K217" s="3"/>
      <c r="L217" s="3"/>
      <c r="M217" s="3"/>
      <c r="N217" s="3"/>
      <c r="O217" s="3"/>
      <c r="P217" s="3"/>
      <c r="Q217" s="3"/>
      <c r="R217" s="3"/>
      <c r="S217" s="3"/>
      <c r="T217" s="3"/>
      <c r="U217" s="3"/>
      <c r="V217" s="3"/>
      <c r="W217" s="3"/>
      <c r="X217" s="3"/>
      <c r="Y217" s="3"/>
      <c r="Z217" s="3"/>
    </row>
    <row r="218" ht="12.75" customHeight="1">
      <c r="A218" s="3"/>
      <c r="B218" s="4"/>
      <c r="C218" s="6"/>
      <c r="D218" s="6"/>
      <c r="E218" s="6"/>
      <c r="F218" s="6"/>
      <c r="G218" s="3"/>
      <c r="H218" s="3"/>
      <c r="I218" s="3"/>
      <c r="J218" s="3"/>
      <c r="K218" s="3"/>
      <c r="L218" s="3"/>
      <c r="M218" s="3"/>
      <c r="N218" s="3"/>
      <c r="O218" s="3"/>
      <c r="P218" s="3"/>
      <c r="Q218" s="3"/>
      <c r="R218" s="3"/>
      <c r="S218" s="3"/>
      <c r="T218" s="3"/>
      <c r="U218" s="3"/>
      <c r="V218" s="3"/>
      <c r="W218" s="3"/>
      <c r="X218" s="3"/>
      <c r="Y218" s="3"/>
      <c r="Z218" s="3"/>
    </row>
    <row r="219" ht="12.75" customHeight="1">
      <c r="A219" s="3"/>
      <c r="B219" s="4"/>
      <c r="C219" s="6"/>
      <c r="D219" s="6"/>
      <c r="E219" s="6"/>
      <c r="F219" s="6"/>
      <c r="G219" s="3"/>
      <c r="H219" s="3"/>
      <c r="I219" s="3"/>
      <c r="J219" s="3"/>
      <c r="K219" s="3"/>
      <c r="L219" s="3"/>
      <c r="M219" s="3"/>
      <c r="N219" s="3"/>
      <c r="O219" s="3"/>
      <c r="P219" s="3"/>
      <c r="Q219" s="3"/>
      <c r="R219" s="3"/>
      <c r="S219" s="3"/>
      <c r="T219" s="3"/>
      <c r="U219" s="3"/>
      <c r="V219" s="3"/>
      <c r="W219" s="3"/>
      <c r="X219" s="3"/>
      <c r="Y219" s="3"/>
      <c r="Z219" s="3"/>
    </row>
    <row r="220" ht="12.75" customHeight="1">
      <c r="A220" s="3"/>
      <c r="B220" s="4"/>
      <c r="C220" s="6"/>
      <c r="D220" s="6"/>
      <c r="E220" s="6"/>
      <c r="F220" s="6"/>
      <c r="G220" s="3"/>
      <c r="H220" s="3"/>
      <c r="I220" s="3"/>
      <c r="J220" s="3"/>
      <c r="K220" s="3"/>
      <c r="L220" s="3"/>
      <c r="M220" s="3"/>
      <c r="N220" s="3"/>
      <c r="O220" s="3"/>
      <c r="P220" s="3"/>
      <c r="Q220" s="3"/>
      <c r="R220" s="3"/>
      <c r="S220" s="3"/>
      <c r="T220" s="3"/>
      <c r="U220" s="3"/>
      <c r="V220" s="3"/>
      <c r="W220" s="3"/>
      <c r="X220" s="3"/>
      <c r="Y220" s="3"/>
      <c r="Z220" s="3"/>
    </row>
    <row r="221" ht="12.75" customHeight="1">
      <c r="A221" s="3"/>
      <c r="B221" s="4"/>
      <c r="C221" s="6"/>
      <c r="D221" s="6"/>
      <c r="E221" s="6"/>
      <c r="F221" s="6"/>
      <c r="G221" s="3"/>
      <c r="H221" s="3"/>
      <c r="I221" s="3"/>
      <c r="J221" s="3"/>
      <c r="K221" s="3"/>
      <c r="L221" s="3"/>
      <c r="M221" s="3"/>
      <c r="N221" s="3"/>
      <c r="O221" s="3"/>
      <c r="P221" s="3"/>
      <c r="Q221" s="3"/>
      <c r="R221" s="3"/>
      <c r="S221" s="3"/>
      <c r="T221" s="3"/>
      <c r="U221" s="3"/>
      <c r="V221" s="3"/>
      <c r="W221" s="3"/>
      <c r="X221" s="3"/>
      <c r="Y221" s="3"/>
      <c r="Z221" s="3"/>
    </row>
    <row r="222" ht="12.75" customHeight="1">
      <c r="A222" s="3"/>
      <c r="B222" s="4"/>
      <c r="C222" s="6"/>
      <c r="D222" s="6"/>
      <c r="E222" s="6"/>
      <c r="F222" s="6"/>
      <c r="G222" s="3"/>
      <c r="H222" s="3"/>
      <c r="I222" s="3"/>
      <c r="J222" s="3"/>
      <c r="K222" s="3"/>
      <c r="L222" s="3"/>
      <c r="M222" s="3"/>
      <c r="N222" s="3"/>
      <c r="O222" s="3"/>
      <c r="P222" s="3"/>
      <c r="Q222" s="3"/>
      <c r="R222" s="3"/>
      <c r="S222" s="3"/>
      <c r="T222" s="3"/>
      <c r="U222" s="3"/>
      <c r="V222" s="3"/>
      <c r="W222" s="3"/>
      <c r="X222" s="3"/>
      <c r="Y222" s="3"/>
      <c r="Z222" s="3"/>
    </row>
    <row r="223" ht="12.75" customHeight="1">
      <c r="A223" s="3"/>
      <c r="B223" s="4"/>
      <c r="C223" s="6"/>
      <c r="D223" s="6"/>
      <c r="E223" s="6"/>
      <c r="F223" s="6"/>
      <c r="G223" s="3"/>
      <c r="H223" s="3"/>
      <c r="I223" s="3"/>
      <c r="J223" s="3"/>
      <c r="K223" s="3"/>
      <c r="L223" s="3"/>
      <c r="M223" s="3"/>
      <c r="N223" s="3"/>
      <c r="O223" s="3"/>
      <c r="P223" s="3"/>
      <c r="Q223" s="3"/>
      <c r="R223" s="3"/>
      <c r="S223" s="3"/>
      <c r="T223" s="3"/>
      <c r="U223" s="3"/>
      <c r="V223" s="3"/>
      <c r="W223" s="3"/>
      <c r="X223" s="3"/>
      <c r="Y223" s="3"/>
      <c r="Z223" s="3"/>
    </row>
    <row r="224" ht="12.75" customHeight="1">
      <c r="A224" s="3"/>
      <c r="B224" s="4"/>
      <c r="C224" s="6"/>
      <c r="D224" s="6"/>
      <c r="E224" s="6"/>
      <c r="F224" s="6"/>
      <c r="G224" s="3"/>
      <c r="H224" s="3"/>
      <c r="I224" s="3"/>
      <c r="J224" s="3"/>
      <c r="K224" s="3"/>
      <c r="L224" s="3"/>
      <c r="M224" s="3"/>
      <c r="N224" s="3"/>
      <c r="O224" s="3"/>
      <c r="P224" s="3"/>
      <c r="Q224" s="3"/>
      <c r="R224" s="3"/>
      <c r="S224" s="3"/>
      <c r="T224" s="3"/>
      <c r="U224" s="3"/>
      <c r="V224" s="3"/>
      <c r="W224" s="3"/>
      <c r="X224" s="3"/>
      <c r="Y224" s="3"/>
      <c r="Z224" s="3"/>
    </row>
    <row r="225" ht="12.75" customHeight="1">
      <c r="A225" s="3"/>
      <c r="B225" s="4"/>
      <c r="C225" s="6"/>
      <c r="D225" s="6"/>
      <c r="E225" s="6"/>
      <c r="F225" s="6"/>
      <c r="G225" s="3"/>
      <c r="H225" s="3"/>
      <c r="I225" s="3"/>
      <c r="J225" s="3"/>
      <c r="K225" s="3"/>
      <c r="L225" s="3"/>
      <c r="M225" s="3"/>
      <c r="N225" s="3"/>
      <c r="O225" s="3"/>
      <c r="P225" s="3"/>
      <c r="Q225" s="3"/>
      <c r="R225" s="3"/>
      <c r="S225" s="3"/>
      <c r="T225" s="3"/>
      <c r="U225" s="3"/>
      <c r="V225" s="3"/>
      <c r="W225" s="3"/>
      <c r="X225" s="3"/>
      <c r="Y225" s="3"/>
      <c r="Z225" s="3"/>
    </row>
    <row r="226" ht="12.75" customHeight="1">
      <c r="A226" s="3"/>
      <c r="B226" s="4"/>
      <c r="C226" s="6"/>
      <c r="D226" s="6"/>
      <c r="E226" s="6"/>
      <c r="F226" s="6"/>
      <c r="G226" s="3"/>
      <c r="H226" s="3"/>
      <c r="I226" s="3"/>
      <c r="J226" s="3"/>
      <c r="K226" s="3"/>
      <c r="L226" s="3"/>
      <c r="M226" s="3"/>
      <c r="N226" s="3"/>
      <c r="O226" s="3"/>
      <c r="P226" s="3"/>
      <c r="Q226" s="3"/>
      <c r="R226" s="3"/>
      <c r="S226" s="3"/>
      <c r="T226" s="3"/>
      <c r="U226" s="3"/>
      <c r="V226" s="3"/>
      <c r="W226" s="3"/>
      <c r="X226" s="3"/>
      <c r="Y226" s="3"/>
      <c r="Z226" s="3"/>
    </row>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B3:C3"/>
    <mergeCell ref="D3:F3"/>
    <mergeCell ref="B4:C4"/>
    <mergeCell ref="D4:F4"/>
    <mergeCell ref="B5:C5"/>
    <mergeCell ref="D5:F5"/>
  </mergeCells>
  <hyperlinks>
    <hyperlink display="System Administration" location="'System Administration'!A1" ref="D9"/>
    <hyperlink display="System Administration" location="'System Administration'!A1" ref="D10"/>
    <hyperlink display="System Administration" location="'System Administration'!A1" ref="D11"/>
    <hyperlink display="System Administration" location="'System Administration'!A1" ref="D12"/>
    <hyperlink display="System Administration" location="'System Administration'!A1" ref="D13"/>
    <hyperlink display="User Authentication" location="'User Authentication'!A1" ref="D14"/>
    <hyperlink display="User Authentication" location="'User Authentication'!A1" ref="D15"/>
    <hyperlink display="User Authentication" location="'User Authentication'!A1" ref="D16"/>
    <hyperlink display="User Authentication" location="'User Authentication'!A1" ref="D17"/>
    <hyperlink display="User Authentication" location="'User Authentication'!A1" ref="D18"/>
    <hyperlink display="Quiz Administration" location="'Quiz Administration'!A1" ref="D19"/>
    <hyperlink display="Quiz Administration" location="'Quiz Administration'!A1" ref="D20"/>
    <hyperlink display="Quiz Administration" location="'Quiz Administration'!A1" ref="D21"/>
    <hyperlink display="Quiz Administration" location="'Quiz Administration'!A1" ref="D22"/>
    <hyperlink display="Quiz Administration" location="'Quiz Administration'!A1" ref="D23"/>
    <hyperlink display="Lesson Management" location="'Lesson Management'!A1" ref="D24"/>
    <hyperlink display="Lesson Management" location="'Lesson Management'!A1" ref="D25"/>
    <hyperlink display="Lesson Management" location="'Lesson Management'!A1" ref="D26"/>
  </hyperlink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sheetPr>
    <pageSetUpPr/>
  </sheetPr>
  <sheetViews>
    <sheetView workbookViewId="0"/>
  </sheetViews>
  <sheetFormatPr customHeight="1" defaultColWidth="12.63" defaultRowHeight="15.0"/>
  <cols>
    <col customWidth="1" min="1" max="1" width="4.5"/>
    <col customWidth="1" min="2" max="2" width="18.38"/>
    <col customWidth="1" min="3" max="3" width="19.38"/>
    <col customWidth="1" min="4" max="4" width="14.38"/>
    <col customWidth="1" min="5" max="6" width="11.63"/>
    <col customWidth="1" min="7" max="7" width="9.0"/>
    <col customWidth="1" min="8" max="8" width="35.5"/>
    <col customWidth="1" min="9" max="26" width="9.0"/>
  </cols>
  <sheetData>
    <row r="1" ht="25.5" customHeight="1">
      <c r="A1" s="3"/>
      <c r="B1" s="7" t="s">
        <v>0</v>
      </c>
      <c r="C1" s="9"/>
      <c r="D1" s="9"/>
      <c r="E1" s="9"/>
      <c r="F1" s="9"/>
      <c r="G1" s="9"/>
      <c r="H1" s="9"/>
      <c r="I1" s="3"/>
      <c r="J1" s="3"/>
      <c r="K1" s="3"/>
      <c r="L1" s="3"/>
      <c r="M1" s="3"/>
      <c r="N1" s="3"/>
      <c r="O1" s="3"/>
      <c r="P1" s="3"/>
      <c r="Q1" s="3"/>
      <c r="R1" s="3"/>
      <c r="S1" s="3"/>
      <c r="T1" s="3"/>
      <c r="U1" s="3"/>
      <c r="V1" s="3"/>
      <c r="W1" s="3"/>
      <c r="X1" s="3"/>
      <c r="Y1" s="3"/>
      <c r="Z1" s="3"/>
    </row>
    <row r="2" ht="14.25" customHeight="1">
      <c r="A2" s="22"/>
      <c r="B2" s="22"/>
      <c r="C2" s="3"/>
      <c r="D2" s="3"/>
      <c r="E2" s="3"/>
      <c r="F2" s="3"/>
      <c r="G2" s="3"/>
      <c r="H2" s="28"/>
      <c r="I2" s="3"/>
      <c r="J2" s="3"/>
      <c r="K2" s="3"/>
      <c r="L2" s="3"/>
      <c r="M2" s="3"/>
      <c r="N2" s="3"/>
      <c r="O2" s="3"/>
      <c r="P2" s="3"/>
      <c r="Q2" s="3"/>
      <c r="R2" s="3"/>
      <c r="S2" s="3"/>
      <c r="T2" s="3"/>
      <c r="U2" s="3"/>
      <c r="V2" s="3"/>
      <c r="W2" s="3"/>
      <c r="X2" s="3"/>
      <c r="Y2" s="3"/>
      <c r="Z2" s="3"/>
    </row>
    <row r="3" ht="12.0" customHeight="1">
      <c r="A3" s="3"/>
      <c r="B3" s="31" t="s">
        <v>5</v>
      </c>
      <c r="C3" s="34" t="str">
        <f>Cover!B4</f>
        <v>Courson - LMS</v>
      </c>
      <c r="D3" s="18"/>
      <c r="E3" s="40" t="s">
        <v>8</v>
      </c>
      <c r="F3" s="18"/>
      <c r="G3" s="41"/>
      <c r="H3" s="44"/>
      <c r="I3" s="3"/>
      <c r="J3" s="3"/>
      <c r="K3" s="3"/>
      <c r="L3" s="3"/>
      <c r="M3" s="3"/>
      <c r="N3" s="3"/>
      <c r="O3" s="3"/>
      <c r="P3" s="3"/>
      <c r="Q3" s="3"/>
      <c r="R3" s="3"/>
      <c r="S3" s="3"/>
      <c r="T3" s="3"/>
      <c r="U3" s="3"/>
      <c r="V3" s="3"/>
      <c r="W3" s="3"/>
      <c r="X3" s="3"/>
      <c r="Y3" s="3"/>
      <c r="Z3" s="3"/>
    </row>
    <row r="4" ht="12.0" customHeight="1">
      <c r="A4" s="3"/>
      <c r="B4" s="31" t="s">
        <v>11</v>
      </c>
      <c r="C4" s="34" t="str">
        <f>Cover!B5</f>
        <v>SE2051-NET_SWP391_G5</v>
      </c>
      <c r="D4" s="18"/>
      <c r="E4" s="40" t="s">
        <v>21</v>
      </c>
      <c r="F4" s="18"/>
      <c r="G4" s="41"/>
      <c r="H4" s="44"/>
      <c r="I4" s="3"/>
      <c r="J4" s="3"/>
      <c r="K4" s="3"/>
      <c r="L4" s="3"/>
      <c r="M4" s="3"/>
      <c r="N4" s="3"/>
      <c r="O4" s="3"/>
      <c r="P4" s="3"/>
      <c r="Q4" s="3"/>
      <c r="R4" s="3"/>
      <c r="S4" s="3"/>
      <c r="T4" s="3"/>
      <c r="U4" s="3"/>
      <c r="V4" s="3"/>
      <c r="W4" s="3"/>
      <c r="X4" s="3"/>
      <c r="Y4" s="3"/>
      <c r="Z4" s="3"/>
    </row>
    <row r="5" ht="12.0" customHeight="1">
      <c r="A5" s="3"/>
      <c r="B5" s="60" t="s">
        <v>17</v>
      </c>
      <c r="C5" s="34" t="str">
        <f>C4&amp;"_"&amp;"Test Report"&amp;"_"&amp;"v1.0"</f>
        <v>SE2051-NET_SWP391_G5_Test Report_v1.0</v>
      </c>
      <c r="D5" s="18"/>
      <c r="E5" s="40" t="s">
        <v>13</v>
      </c>
      <c r="F5" s="18"/>
      <c r="G5" s="41"/>
      <c r="H5" s="39">
        <v>46299.0</v>
      </c>
      <c r="I5" s="3"/>
      <c r="J5" s="3"/>
      <c r="K5" s="3"/>
      <c r="L5" s="3"/>
      <c r="M5" s="3"/>
      <c r="N5" s="3"/>
      <c r="O5" s="3"/>
      <c r="P5" s="3"/>
      <c r="Q5" s="3"/>
      <c r="R5" s="3"/>
      <c r="S5" s="3"/>
      <c r="T5" s="3"/>
      <c r="U5" s="3"/>
      <c r="V5" s="3"/>
      <c r="W5" s="3"/>
      <c r="X5" s="3"/>
      <c r="Y5" s="3"/>
      <c r="Z5" s="3"/>
    </row>
    <row r="6" ht="21.75" customHeight="1">
      <c r="A6" s="22"/>
      <c r="B6" s="60" t="s">
        <v>38</v>
      </c>
      <c r="C6" s="76"/>
      <c r="D6" s="15"/>
      <c r="E6" s="15"/>
      <c r="F6" s="15"/>
      <c r="G6" s="15"/>
      <c r="H6" s="18"/>
      <c r="I6" s="3"/>
      <c r="J6" s="3"/>
      <c r="K6" s="3"/>
      <c r="L6" s="3"/>
      <c r="M6" s="3"/>
      <c r="N6" s="3"/>
      <c r="O6" s="3"/>
      <c r="P6" s="3"/>
      <c r="Q6" s="3"/>
      <c r="R6" s="3"/>
      <c r="S6" s="3"/>
      <c r="T6" s="3"/>
      <c r="U6" s="3"/>
      <c r="V6" s="3"/>
      <c r="W6" s="3"/>
      <c r="X6" s="3"/>
      <c r="Y6" s="3"/>
      <c r="Z6" s="3"/>
    </row>
    <row r="7" ht="14.25" customHeight="1">
      <c r="A7" s="22"/>
      <c r="B7" s="81"/>
      <c r="C7" s="82"/>
      <c r="D7" s="3"/>
      <c r="E7" s="3"/>
      <c r="F7" s="3"/>
      <c r="G7" s="3"/>
      <c r="H7" s="28"/>
      <c r="I7" s="3"/>
      <c r="J7" s="3"/>
      <c r="K7" s="3"/>
      <c r="L7" s="3"/>
      <c r="M7" s="3"/>
      <c r="N7" s="3"/>
      <c r="O7" s="3"/>
      <c r="P7" s="3"/>
      <c r="Q7" s="3"/>
      <c r="R7" s="3"/>
      <c r="S7" s="3"/>
      <c r="T7" s="3"/>
      <c r="U7" s="3"/>
      <c r="V7" s="3"/>
      <c r="W7" s="3"/>
      <c r="X7" s="3"/>
      <c r="Y7" s="3"/>
      <c r="Z7" s="3"/>
    </row>
    <row r="8" ht="12.75" customHeight="1">
      <c r="A8" s="3"/>
      <c r="B8" s="81"/>
      <c r="C8" s="82"/>
      <c r="D8" s="3"/>
      <c r="E8" s="3"/>
      <c r="F8" s="3"/>
      <c r="G8" s="3"/>
      <c r="H8" s="28"/>
      <c r="I8" s="3"/>
      <c r="J8" s="3"/>
      <c r="K8" s="3"/>
      <c r="L8" s="3"/>
      <c r="M8" s="3"/>
      <c r="N8" s="3"/>
      <c r="O8" s="3"/>
      <c r="P8" s="3"/>
      <c r="Q8" s="3"/>
      <c r="R8" s="3"/>
      <c r="S8" s="3"/>
      <c r="T8" s="3"/>
      <c r="U8" s="3"/>
      <c r="V8" s="3"/>
      <c r="W8" s="3"/>
      <c r="X8" s="3"/>
      <c r="Y8" s="3"/>
      <c r="Z8" s="3"/>
    </row>
    <row r="9" ht="12.75" customHeight="1">
      <c r="A9" s="3"/>
      <c r="B9" s="3"/>
      <c r="C9" s="3"/>
      <c r="D9" s="3"/>
      <c r="E9" s="3"/>
      <c r="F9" s="3"/>
      <c r="G9" s="3"/>
      <c r="H9" s="3"/>
      <c r="I9" s="3"/>
      <c r="J9" s="3"/>
      <c r="K9" s="3"/>
      <c r="L9" s="3"/>
      <c r="M9" s="3"/>
      <c r="N9" s="3"/>
      <c r="O9" s="3"/>
      <c r="P9" s="3"/>
      <c r="Q9" s="3"/>
      <c r="R9" s="3"/>
      <c r="S9" s="3"/>
      <c r="T9" s="3"/>
      <c r="U9" s="3"/>
      <c r="V9" s="3"/>
      <c r="W9" s="3"/>
      <c r="X9" s="3"/>
      <c r="Y9" s="3"/>
      <c r="Z9" s="3"/>
    </row>
    <row r="10" ht="12.75" customHeight="1">
      <c r="A10" s="91"/>
      <c r="B10" s="93" t="s">
        <v>26</v>
      </c>
      <c r="C10" s="94" t="s">
        <v>54</v>
      </c>
      <c r="D10" s="96" t="s">
        <v>6</v>
      </c>
      <c r="E10" s="94" t="s">
        <v>14</v>
      </c>
      <c r="F10" s="94" t="s">
        <v>19</v>
      </c>
      <c r="G10" s="97" t="s">
        <v>22</v>
      </c>
      <c r="H10" s="99" t="s">
        <v>57</v>
      </c>
      <c r="I10" s="3"/>
      <c r="J10" s="3"/>
      <c r="K10" s="3"/>
      <c r="L10" s="3"/>
      <c r="M10" s="3"/>
      <c r="N10" s="3"/>
      <c r="O10" s="3"/>
      <c r="P10" s="3"/>
      <c r="Q10" s="3"/>
      <c r="R10" s="3"/>
      <c r="S10" s="3"/>
      <c r="T10" s="3"/>
      <c r="U10" s="3"/>
      <c r="V10" s="3"/>
      <c r="W10" s="3"/>
      <c r="X10" s="3"/>
      <c r="Y10" s="3"/>
      <c r="Z10" s="3"/>
    </row>
    <row r="11" ht="12.75" customHeight="1">
      <c r="A11" s="91"/>
      <c r="B11" s="103">
        <v>1.0</v>
      </c>
      <c r="C11" s="106" t="str">
        <f>'System Administration'!B2</f>
        <v>System Administration</v>
      </c>
      <c r="D11" s="112">
        <f>'System Administration'!B6</f>
        <v>18</v>
      </c>
      <c r="E11" s="112">
        <f>'System Administration'!C6</f>
        <v>3</v>
      </c>
      <c r="F11" s="112">
        <f>'System Administration'!D6</f>
        <v>0</v>
      </c>
      <c r="G11" s="112">
        <f>'System Administration'!E6</f>
        <v>0</v>
      </c>
      <c r="H11" s="119">
        <f>'System Administration'!B4</f>
        <v>21</v>
      </c>
      <c r="I11" s="3"/>
      <c r="J11" s="3"/>
      <c r="K11" s="3"/>
      <c r="L11" s="3"/>
      <c r="M11" s="3"/>
      <c r="N11" s="3"/>
      <c r="O11" s="3"/>
      <c r="P11" s="3"/>
      <c r="Q11" s="3"/>
      <c r="R11" s="3"/>
      <c r="S11" s="3"/>
      <c r="T11" s="3"/>
      <c r="U11" s="3"/>
      <c r="V11" s="3"/>
      <c r="W11" s="3"/>
      <c r="X11" s="3"/>
      <c r="Y11" s="3"/>
      <c r="Z11" s="3"/>
    </row>
    <row r="12" ht="12.75" customHeight="1">
      <c r="A12" s="91"/>
      <c r="B12" s="103">
        <v>2.0</v>
      </c>
      <c r="C12" s="106" t="str">
        <f>'User Authentication'!B2</f>
        <v>User Authentication</v>
      </c>
      <c r="D12" s="112">
        <f>'User Authentication'!B6</f>
        <v>51</v>
      </c>
      <c r="E12" s="112">
        <f>'User Authentication'!C6</f>
        <v>1</v>
      </c>
      <c r="F12" s="112">
        <f>'User Authentication'!D6</f>
        <v>0</v>
      </c>
      <c r="G12" s="112">
        <f>'User Authentication'!E6</f>
        <v>0</v>
      </c>
      <c r="H12" s="119">
        <f>'User Authentication'!B4</f>
        <v>52</v>
      </c>
      <c r="I12" s="125"/>
      <c r="J12" s="3"/>
      <c r="K12" s="3"/>
      <c r="L12" s="3"/>
      <c r="M12" s="3"/>
      <c r="N12" s="3"/>
      <c r="O12" s="3"/>
      <c r="P12" s="3"/>
      <c r="Q12" s="3"/>
      <c r="R12" s="3"/>
      <c r="S12" s="3"/>
      <c r="T12" s="3"/>
      <c r="U12" s="3"/>
      <c r="V12" s="3"/>
      <c r="W12" s="3"/>
      <c r="X12" s="3"/>
      <c r="Y12" s="3"/>
      <c r="Z12" s="3"/>
    </row>
    <row r="13" ht="12.75" customHeight="1">
      <c r="A13" s="91"/>
      <c r="B13" s="103">
        <v>3.0</v>
      </c>
      <c r="C13" s="106" t="str">
        <f>'Quiz Administration'!B2</f>
        <v>Quiz Administration</v>
      </c>
      <c r="D13" s="112">
        <f>'Quiz Administration'!B7</f>
        <v>25</v>
      </c>
      <c r="E13" s="112">
        <f>'Quiz Administration'!C7</f>
        <v>0</v>
      </c>
      <c r="F13" s="112">
        <f>'Quiz Administration'!D7</f>
        <v>0</v>
      </c>
      <c r="G13" s="112">
        <f>'Quiz Administration'!E7</f>
        <v>0</v>
      </c>
      <c r="H13" s="119">
        <f>'Quiz Administration'!B4</f>
        <v>25</v>
      </c>
      <c r="I13" s="125"/>
      <c r="J13" s="3"/>
      <c r="K13" s="3"/>
      <c r="L13" s="3"/>
      <c r="M13" s="3"/>
      <c r="N13" s="3"/>
      <c r="O13" s="3"/>
      <c r="P13" s="3"/>
      <c r="Q13" s="3"/>
      <c r="R13" s="3"/>
      <c r="S13" s="3"/>
      <c r="T13" s="3"/>
      <c r="U13" s="3"/>
      <c r="V13" s="3"/>
      <c r="W13" s="3"/>
      <c r="X13" s="3"/>
      <c r="Y13" s="3"/>
      <c r="Z13" s="3"/>
    </row>
    <row r="14" ht="30.0" customHeight="1">
      <c r="A14" s="91"/>
      <c r="B14" s="103">
        <v>4.0</v>
      </c>
      <c r="C14" s="106" t="str">
        <f>'Lesson Management'!B2</f>
        <v>Lesson Management</v>
      </c>
      <c r="D14" s="112">
        <f>'Lesson Management'!B6</f>
        <v>72</v>
      </c>
      <c r="E14" s="112">
        <f>'Lesson Management'!C6</f>
        <v>0</v>
      </c>
      <c r="F14" s="112">
        <f>'Lesson Management'!D6</f>
        <v>0</v>
      </c>
      <c r="G14" s="112">
        <f>'Lesson Management'!E6</f>
        <v>0</v>
      </c>
      <c r="H14" s="119">
        <f>'Lesson Management'!B4</f>
        <v>72</v>
      </c>
      <c r="I14" s="125"/>
      <c r="J14" s="3"/>
      <c r="K14" s="3"/>
      <c r="L14" s="3"/>
      <c r="M14" s="3"/>
      <c r="N14" s="3"/>
      <c r="O14" s="3"/>
      <c r="P14" s="3"/>
      <c r="Q14" s="3"/>
      <c r="R14" s="3"/>
      <c r="S14" s="3"/>
      <c r="T14" s="3"/>
      <c r="U14" s="3"/>
      <c r="V14" s="3"/>
      <c r="W14" s="3"/>
      <c r="X14" s="3"/>
      <c r="Y14" s="3"/>
      <c r="Z14" s="3"/>
    </row>
    <row r="15" ht="12.75" customHeight="1">
      <c r="A15" s="91"/>
      <c r="B15" s="103"/>
      <c r="C15" s="106"/>
      <c r="D15" s="112"/>
      <c r="E15" s="112"/>
      <c r="F15" s="112"/>
      <c r="G15" s="134"/>
      <c r="H15" s="119"/>
      <c r="I15" s="125"/>
      <c r="J15" s="3"/>
      <c r="K15" s="3"/>
      <c r="L15" s="3"/>
      <c r="M15" s="3"/>
      <c r="N15" s="3"/>
      <c r="O15" s="3"/>
      <c r="P15" s="3"/>
      <c r="Q15" s="3"/>
      <c r="R15" s="3"/>
      <c r="S15" s="3"/>
      <c r="T15" s="3"/>
      <c r="U15" s="3"/>
      <c r="V15" s="3"/>
      <c r="W15" s="3"/>
      <c r="X15" s="3"/>
      <c r="Y15" s="3"/>
      <c r="Z15" s="3"/>
    </row>
    <row r="16" ht="12.75" customHeight="1">
      <c r="A16" s="91"/>
      <c r="B16" s="137"/>
      <c r="C16" s="139" t="s">
        <v>126</v>
      </c>
      <c r="D16" s="140">
        <f t="shared" ref="D16:H16" si="1">SUM(D9:D15)</f>
        <v>166</v>
      </c>
      <c r="E16" s="140">
        <f t="shared" si="1"/>
        <v>4</v>
      </c>
      <c r="F16" s="140">
        <f t="shared" si="1"/>
        <v>0</v>
      </c>
      <c r="G16" s="140">
        <f t="shared" si="1"/>
        <v>0</v>
      </c>
      <c r="H16" s="141">
        <f t="shared" si="1"/>
        <v>170</v>
      </c>
      <c r="I16" s="3"/>
      <c r="J16" s="3"/>
      <c r="K16" s="3"/>
      <c r="L16" s="3"/>
      <c r="M16" s="3"/>
      <c r="N16" s="3"/>
      <c r="O16" s="3"/>
      <c r="P16" s="3"/>
      <c r="Q16" s="3"/>
      <c r="R16" s="3"/>
      <c r="S16" s="3"/>
      <c r="T16" s="3"/>
      <c r="U16" s="3"/>
      <c r="V16" s="3"/>
      <c r="W16" s="3"/>
      <c r="X16" s="3"/>
      <c r="Y16" s="3"/>
      <c r="Z16" s="3"/>
    </row>
    <row r="17" ht="12.75" customHeight="1">
      <c r="A17" s="3"/>
      <c r="B17" s="142"/>
      <c r="C17" s="3"/>
      <c r="D17" s="143"/>
      <c r="E17" s="144"/>
      <c r="F17" s="144"/>
      <c r="G17" s="144"/>
      <c r="H17" s="144"/>
      <c r="I17" s="3"/>
      <c r="J17" s="3"/>
      <c r="K17" s="3"/>
      <c r="L17" s="3"/>
      <c r="M17" s="3"/>
      <c r="N17" s="3"/>
      <c r="O17" s="3"/>
      <c r="P17" s="3"/>
      <c r="Q17" s="3"/>
      <c r="R17" s="3"/>
      <c r="S17" s="3"/>
      <c r="T17" s="3"/>
      <c r="U17" s="3"/>
      <c r="V17" s="3"/>
      <c r="W17" s="3"/>
      <c r="X17" s="3"/>
      <c r="Y17" s="3"/>
      <c r="Z17" s="3"/>
    </row>
    <row r="18" ht="12.75" customHeight="1">
      <c r="A18" s="3"/>
      <c r="B18" s="3"/>
      <c r="C18" s="23" t="s">
        <v>144</v>
      </c>
      <c r="D18" s="3"/>
      <c r="E18" s="150">
        <f>(D16+E16)*100/(H16-G16)</f>
        <v>100</v>
      </c>
      <c r="F18" s="3" t="s">
        <v>150</v>
      </c>
      <c r="G18" s="3"/>
      <c r="H18" s="102"/>
      <c r="I18" s="3"/>
      <c r="J18" s="3"/>
      <c r="K18" s="3"/>
      <c r="L18" s="3"/>
      <c r="M18" s="3"/>
      <c r="N18" s="3"/>
      <c r="O18" s="3"/>
      <c r="P18" s="3"/>
      <c r="Q18" s="3"/>
      <c r="R18" s="3"/>
      <c r="S18" s="3"/>
      <c r="T18" s="3"/>
      <c r="U18" s="3"/>
      <c r="V18" s="3"/>
      <c r="W18" s="3"/>
      <c r="X18" s="3"/>
      <c r="Y18" s="3"/>
      <c r="Z18" s="3"/>
    </row>
    <row r="19" ht="12.75" customHeight="1">
      <c r="A19" s="3"/>
      <c r="B19" s="3"/>
      <c r="C19" s="23" t="s">
        <v>154</v>
      </c>
      <c r="D19" s="3"/>
      <c r="E19" s="150">
        <f>D16*100/(H16-G16)</f>
        <v>97.6470588235294</v>
      </c>
      <c r="F19" s="3" t="s">
        <v>150</v>
      </c>
      <c r="G19" s="3"/>
      <c r="H19" s="102"/>
      <c r="I19" s="3"/>
      <c r="J19" s="3"/>
      <c r="K19" s="3"/>
      <c r="L19" s="3"/>
      <c r="M19" s="3"/>
      <c r="N19" s="3"/>
      <c r="O19" s="3"/>
      <c r="P19" s="3"/>
      <c r="Q19" s="3"/>
      <c r="R19" s="3"/>
      <c r="S19" s="3"/>
      <c r="T19" s="3"/>
      <c r="U19" s="3"/>
      <c r="V19" s="3"/>
      <c r="W19" s="3"/>
      <c r="X19" s="3"/>
      <c r="Y19" s="3"/>
      <c r="Z19" s="3"/>
    </row>
    <row r="20" ht="12.75" customHeight="1">
      <c r="A20" s="3"/>
      <c r="B20" s="3"/>
      <c r="C20" s="3"/>
      <c r="D20" s="3"/>
      <c r="E20" s="3"/>
      <c r="F20" s="3"/>
      <c r="G20" s="3"/>
      <c r="H20" s="3"/>
      <c r="I20" s="3"/>
      <c r="J20" s="3"/>
      <c r="K20" s="3"/>
      <c r="L20" s="3"/>
      <c r="M20" s="3"/>
      <c r="N20" s="3"/>
      <c r="O20" s="3"/>
      <c r="P20" s="3"/>
      <c r="Q20" s="3"/>
      <c r="R20" s="3"/>
      <c r="S20" s="3"/>
      <c r="T20" s="3"/>
      <c r="U20" s="3"/>
      <c r="V20" s="3"/>
      <c r="W20" s="3"/>
      <c r="X20" s="3"/>
      <c r="Y20" s="3"/>
      <c r="Z20" s="3"/>
    </row>
    <row r="21" ht="12.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ht="12.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ht="12.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ht="12.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ht="12.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ht="12.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ht="12.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ht="12.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ht="12.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ht="12.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ht="12.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ht="12.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ht="12.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ht="12.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ht="12.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ht="12.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ht="12.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ht="12.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ht="12.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ht="12.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ht="12.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ht="12.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ht="12.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ht="12.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ht="12.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ht="12.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ht="12.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ht="12.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ht="12.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ht="12.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ht="12.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ht="12.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ht="12.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ht="12.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ht="12.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ht="12.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ht="12.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ht="12.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ht="12.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ht="12.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ht="12.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ht="12.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ht="12.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ht="12.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ht="12.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ht="12.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ht="12.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ht="12.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ht="12.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ht="12.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ht="12.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ht="12.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ht="12.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ht="12.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ht="12.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ht="12.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ht="12.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ht="12.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ht="12.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ht="12.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ht="12.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ht="12.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ht="12.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ht="12.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ht="12.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ht="12.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ht="12.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ht="12.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ht="12.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ht="12.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ht="12.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ht="12.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ht="12.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ht="12.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ht="12.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ht="12.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ht="12.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ht="12.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ht="12.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ht="12.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ht="12.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ht="12.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ht="12.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ht="12.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ht="12.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ht="12.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ht="12.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ht="12.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ht="12.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ht="12.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ht="12.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ht="12.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ht="12.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ht="12.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ht="12.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ht="12.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ht="12.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ht="12.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ht="12.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ht="12.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ht="12.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ht="12.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ht="12.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ht="12.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ht="12.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ht="12.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ht="12.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ht="12.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ht="12.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ht="12.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ht="12.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ht="12.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ht="12.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ht="12.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ht="12.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ht="12.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ht="12.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ht="12.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ht="12.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ht="12.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ht="12.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ht="12.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ht="12.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ht="12.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ht="12.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ht="12.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ht="12.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ht="12.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ht="12.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ht="12.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ht="12.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ht="12.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ht="12.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ht="12.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ht="12.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ht="12.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ht="12.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ht="12.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ht="12.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ht="12.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ht="12.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ht="12.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ht="12.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ht="12.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ht="12.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ht="12.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ht="12.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ht="12.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ht="12.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ht="12.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ht="12.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ht="12.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ht="12.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ht="12.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ht="12.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ht="12.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ht="12.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ht="12.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ht="12.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ht="12.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ht="12.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ht="12.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ht="12.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ht="12.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ht="12.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ht="12.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ht="12.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ht="12.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ht="12.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ht="12.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ht="12.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ht="12.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ht="12.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ht="12.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ht="12.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ht="12.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ht="12.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ht="12.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ht="12.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ht="12.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ht="12.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ht="12.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ht="12.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ht="12.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ht="12.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ht="12.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ht="12.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ht="12.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ht="12.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ht="12.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ht="12.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ht="12.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ht="12.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ht="12.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ht="12.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ht="12.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ht="12.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ht="12.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ht="12.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ht="12.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B1:H1"/>
    <mergeCell ref="C3:D3"/>
    <mergeCell ref="E3:F3"/>
    <mergeCell ref="C4:D4"/>
    <mergeCell ref="E4:F4"/>
    <mergeCell ref="C5:D5"/>
    <mergeCell ref="E5:F5"/>
    <mergeCell ref="C6:H6"/>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0" topLeftCell="A11" activePane="bottomLeft" state="frozen"/>
      <selection activeCell="B12" sqref="B12" pane="bottomLeft"/>
    </sheetView>
  </sheetViews>
  <sheetFormatPr customHeight="1" defaultColWidth="12.63" defaultRowHeight="15.0"/>
  <cols>
    <col customWidth="1" min="1" max="1" width="17.0"/>
    <col customWidth="1" min="2" max="2" width="34.5"/>
    <col customWidth="1" min="3" max="3" width="34.13"/>
    <col customWidth="1" min="4" max="4" width="34.63"/>
    <col customWidth="1" min="5" max="5" width="28.38"/>
    <col customWidth="1" min="6" max="6" width="9.38"/>
    <col customWidth="1" hidden="1" min="7" max="7" width="10.63"/>
    <col customWidth="1" hidden="1" min="8" max="8" width="7.0"/>
    <col customWidth="1" min="9" max="9" width="9.38"/>
    <col customWidth="1" hidden="1" min="10" max="10" width="10.63"/>
    <col customWidth="1" hidden="1" min="11" max="11" width="7.0"/>
    <col customWidth="1" min="12" max="12" width="9.38"/>
    <col customWidth="1" hidden="1" min="13" max="13" width="10.63"/>
    <col customWidth="1" hidden="1" min="14" max="14" width="7.0"/>
    <col customWidth="1" min="15" max="15" width="16.63"/>
    <col customWidth="1" min="16" max="16" width="28.63"/>
    <col customWidth="1" min="17" max="17" width="10.13"/>
    <col customWidth="1" min="18" max="18" width="8.13"/>
    <col customWidth="1" hidden="1" min="19" max="19" width="7.63"/>
    <col customWidth="1" min="20" max="26" width="9.0"/>
  </cols>
  <sheetData>
    <row r="1" ht="12.75" customHeight="1">
      <c r="A1" s="3"/>
      <c r="B1" s="3"/>
      <c r="C1" s="3"/>
      <c r="D1" s="3"/>
      <c r="E1" s="3"/>
      <c r="F1" s="3"/>
      <c r="G1" s="3"/>
      <c r="H1" s="3"/>
      <c r="I1" s="3"/>
      <c r="J1" s="3"/>
      <c r="K1" s="3"/>
      <c r="L1" s="3"/>
      <c r="M1" s="3"/>
      <c r="N1" s="3"/>
      <c r="O1" s="3"/>
      <c r="P1" s="3"/>
      <c r="Q1" s="3"/>
      <c r="R1" s="5"/>
      <c r="S1" s="3"/>
      <c r="T1" s="3"/>
      <c r="U1" s="3"/>
      <c r="V1" s="3"/>
      <c r="W1" s="3"/>
      <c r="X1" s="3"/>
      <c r="Y1" s="3"/>
      <c r="Z1" s="3"/>
    </row>
    <row r="2" ht="15.0" customHeight="1">
      <c r="A2" s="12" t="s">
        <v>2</v>
      </c>
      <c r="B2" s="14" t="s">
        <v>4</v>
      </c>
      <c r="C2" s="16"/>
      <c r="D2" s="16"/>
      <c r="E2" s="17"/>
      <c r="F2" s="21"/>
      <c r="G2" s="24"/>
      <c r="H2" s="26"/>
      <c r="I2" s="21"/>
      <c r="J2" s="24"/>
      <c r="K2" s="26"/>
      <c r="L2" s="21"/>
      <c r="M2" s="24"/>
      <c r="N2" s="26"/>
      <c r="O2" s="26"/>
      <c r="P2" s="26"/>
      <c r="Q2" s="26"/>
      <c r="R2" s="29"/>
      <c r="S2" s="32" t="s">
        <v>6</v>
      </c>
      <c r="T2" s="32"/>
      <c r="U2" s="32"/>
      <c r="V2" s="32"/>
      <c r="W2" s="32"/>
      <c r="X2" s="32"/>
      <c r="Y2" s="32"/>
      <c r="Z2" s="32"/>
    </row>
    <row r="3">
      <c r="A3" s="36" t="s">
        <v>9</v>
      </c>
      <c r="B3" s="37" t="s">
        <v>10</v>
      </c>
      <c r="C3" s="15"/>
      <c r="D3" s="15"/>
      <c r="E3" s="38"/>
      <c r="F3" s="21"/>
      <c r="G3" s="24"/>
      <c r="H3" s="26"/>
      <c r="I3" s="21"/>
      <c r="J3" s="24"/>
      <c r="K3" s="26"/>
      <c r="L3" s="21"/>
      <c r="M3" s="24"/>
      <c r="N3" s="26"/>
      <c r="O3" s="26"/>
      <c r="P3" s="26"/>
      <c r="Q3" s="26"/>
      <c r="R3" s="29"/>
      <c r="S3" s="32" t="s">
        <v>14</v>
      </c>
      <c r="T3" s="32"/>
      <c r="U3" s="32"/>
      <c r="V3" s="32"/>
      <c r="W3" s="32"/>
      <c r="X3" s="32"/>
      <c r="Y3" s="32"/>
      <c r="Z3" s="32"/>
    </row>
    <row r="4">
      <c r="A4" s="36" t="s">
        <v>15</v>
      </c>
      <c r="B4" s="37">
        <v>21.0</v>
      </c>
      <c r="C4" s="15"/>
      <c r="D4" s="15"/>
      <c r="E4" s="38"/>
      <c r="F4" s="21"/>
      <c r="G4" s="24"/>
      <c r="H4" s="26"/>
      <c r="I4" s="21"/>
      <c r="J4" s="24"/>
      <c r="K4" s="26"/>
      <c r="L4" s="21"/>
      <c r="M4" s="24"/>
      <c r="N4" s="26"/>
      <c r="O4" s="26"/>
      <c r="P4" s="26"/>
      <c r="Q4" s="26"/>
      <c r="R4" s="29"/>
      <c r="S4" s="32" t="s">
        <v>19</v>
      </c>
      <c r="T4" s="32"/>
      <c r="U4" s="32"/>
      <c r="V4" s="32"/>
      <c r="W4" s="32"/>
      <c r="X4" s="32"/>
      <c r="Y4" s="32"/>
      <c r="Z4" s="32"/>
    </row>
    <row r="5" ht="19.5" customHeight="1">
      <c r="A5" s="46" t="s">
        <v>20</v>
      </c>
      <c r="B5" s="47" t="s">
        <v>6</v>
      </c>
      <c r="C5" s="47" t="s">
        <v>14</v>
      </c>
      <c r="D5" s="47" t="s">
        <v>19</v>
      </c>
      <c r="E5" s="50" t="s">
        <v>22</v>
      </c>
      <c r="F5" s="52"/>
      <c r="G5" s="52"/>
      <c r="H5" s="53"/>
      <c r="I5" s="52"/>
      <c r="J5" s="52"/>
      <c r="K5" s="53"/>
      <c r="L5" s="52"/>
      <c r="M5" s="52"/>
      <c r="N5" s="53"/>
      <c r="O5" s="53"/>
      <c r="P5" s="53"/>
      <c r="Q5" s="53"/>
      <c r="R5" s="57"/>
      <c r="S5" s="32" t="s">
        <v>22</v>
      </c>
      <c r="T5" s="32"/>
      <c r="U5" s="32"/>
      <c r="V5" s="32"/>
      <c r="W5" s="32"/>
      <c r="X5" s="32"/>
      <c r="Y5" s="32"/>
      <c r="Z5" s="32"/>
    </row>
    <row r="6" ht="15.0" customHeight="1">
      <c r="A6" s="46" t="s">
        <v>25</v>
      </c>
      <c r="B6" s="68">
        <f t="shared" ref="B6:E6" si="1">COUNTIF($F10:$F998,B5)</f>
        <v>18</v>
      </c>
      <c r="C6" s="68">
        <f t="shared" si="1"/>
        <v>3</v>
      </c>
      <c r="D6" s="68">
        <f t="shared" si="1"/>
        <v>0</v>
      </c>
      <c r="E6" s="74">
        <f t="shared" si="1"/>
        <v>0</v>
      </c>
      <c r="F6" s="75"/>
      <c r="G6" s="75"/>
      <c r="H6" s="53"/>
      <c r="I6" s="75"/>
      <c r="J6" s="75"/>
      <c r="K6" s="53"/>
      <c r="L6" s="75"/>
      <c r="M6" s="75"/>
      <c r="N6" s="53"/>
      <c r="O6" s="53"/>
      <c r="P6" s="53"/>
      <c r="Q6" s="53"/>
      <c r="R6" s="57"/>
      <c r="S6" s="32"/>
      <c r="T6" s="32"/>
      <c r="U6" s="32"/>
      <c r="V6" s="32"/>
      <c r="W6" s="32"/>
      <c r="X6" s="32"/>
      <c r="Y6" s="32"/>
      <c r="Z6" s="32"/>
    </row>
    <row r="7" ht="15.0" customHeight="1">
      <c r="A7" s="46" t="s">
        <v>40</v>
      </c>
      <c r="B7" s="68">
        <f t="shared" ref="B7:C7" si="2">COUNTIF($I10:$I998,B5)</f>
        <v>21</v>
      </c>
      <c r="C7" s="68">
        <f t="shared" si="2"/>
        <v>0</v>
      </c>
      <c r="D7" s="68">
        <f t="shared" ref="D7:E7" si="3">COUNTIF($F10:$F998,D5)</f>
        <v>0</v>
      </c>
      <c r="E7" s="74">
        <f t="shared" si="3"/>
        <v>0</v>
      </c>
      <c r="F7" s="75"/>
      <c r="G7" s="75"/>
      <c r="H7" s="53"/>
      <c r="I7" s="75"/>
      <c r="J7" s="75"/>
      <c r="K7" s="53"/>
      <c r="L7" s="75"/>
      <c r="M7" s="75"/>
      <c r="N7" s="53"/>
      <c r="O7" s="53"/>
      <c r="P7" s="53"/>
      <c r="Q7" s="53"/>
      <c r="R7" s="57"/>
      <c r="S7" s="32"/>
      <c r="T7" s="32"/>
      <c r="U7" s="32"/>
      <c r="V7" s="32"/>
      <c r="W7" s="32"/>
      <c r="X7" s="32"/>
      <c r="Y7" s="32"/>
      <c r="Z7" s="32"/>
    </row>
    <row r="8" ht="15.0" customHeight="1">
      <c r="A8" s="89" t="s">
        <v>47</v>
      </c>
      <c r="B8" s="92">
        <f t="shared" ref="B8:C8" si="4">COUNTIF($L10:$L998,B5)</f>
        <v>0</v>
      </c>
      <c r="C8" s="92">
        <f t="shared" si="4"/>
        <v>0</v>
      </c>
      <c r="D8" s="92">
        <f>COUNTIF($F10:$F998,D5)</f>
        <v>0</v>
      </c>
      <c r="E8" s="98">
        <f>COUNTIF($L10:$L998,E5)</f>
        <v>21</v>
      </c>
      <c r="F8" s="75"/>
      <c r="G8" s="75"/>
      <c r="H8" s="53"/>
      <c r="I8" s="75"/>
      <c r="J8" s="75"/>
      <c r="K8" s="53"/>
      <c r="L8" s="75"/>
      <c r="M8" s="75"/>
      <c r="N8" s="53"/>
      <c r="O8" s="53"/>
      <c r="P8" s="53"/>
      <c r="Q8" s="53"/>
      <c r="R8" s="57"/>
      <c r="S8" s="32"/>
      <c r="T8" s="32"/>
      <c r="U8" s="32"/>
      <c r="V8" s="32"/>
      <c r="W8" s="32"/>
      <c r="X8" s="32"/>
      <c r="Y8" s="32"/>
      <c r="Z8" s="32"/>
    </row>
    <row r="9" ht="15.0" customHeight="1">
      <c r="A9" s="53"/>
      <c r="B9" s="53"/>
      <c r="C9" s="53"/>
      <c r="D9" s="53"/>
      <c r="E9" s="53"/>
      <c r="F9" s="102"/>
      <c r="G9" s="53"/>
      <c r="H9" s="53"/>
      <c r="I9" s="102"/>
      <c r="J9" s="53"/>
      <c r="K9" s="53"/>
      <c r="L9" s="102"/>
      <c r="M9" s="53"/>
      <c r="N9" s="53"/>
      <c r="O9" s="53"/>
      <c r="P9" s="53"/>
      <c r="Q9" s="53"/>
      <c r="R9" s="57"/>
      <c r="S9" s="32"/>
      <c r="T9" s="32"/>
      <c r="U9" s="32"/>
      <c r="V9" s="32"/>
      <c r="W9" s="32"/>
      <c r="X9" s="32"/>
      <c r="Y9" s="32"/>
      <c r="Z9" s="32"/>
    </row>
    <row r="10">
      <c r="A10" s="108" t="s">
        <v>60</v>
      </c>
      <c r="B10" s="108" t="s">
        <v>61</v>
      </c>
      <c r="C10" s="108" t="s">
        <v>62</v>
      </c>
      <c r="D10" s="108" t="s">
        <v>63</v>
      </c>
      <c r="E10" s="108" t="s">
        <v>64</v>
      </c>
      <c r="F10" s="108" t="s">
        <v>25</v>
      </c>
      <c r="G10" s="108" t="s">
        <v>66</v>
      </c>
      <c r="H10" s="108" t="s">
        <v>67</v>
      </c>
      <c r="I10" s="108" t="s">
        <v>40</v>
      </c>
      <c r="J10" s="108" t="s">
        <v>66</v>
      </c>
      <c r="K10" s="108" t="s">
        <v>67</v>
      </c>
      <c r="L10" s="108" t="s">
        <v>47</v>
      </c>
      <c r="M10" s="108" t="s">
        <v>66</v>
      </c>
      <c r="N10" s="108" t="s">
        <v>67</v>
      </c>
      <c r="O10" s="108" t="s">
        <v>68</v>
      </c>
      <c r="P10" s="108" t="s">
        <v>69</v>
      </c>
      <c r="Q10" s="32"/>
      <c r="R10" s="113"/>
      <c r="S10" s="32"/>
      <c r="T10" s="32"/>
      <c r="U10" s="32"/>
      <c r="V10" s="32"/>
      <c r="W10" s="32"/>
      <c r="X10" s="32"/>
      <c r="Y10" s="32"/>
      <c r="Z10" s="32"/>
    </row>
    <row r="11">
      <c r="A11" s="114" t="s">
        <v>37</v>
      </c>
      <c r="B11" s="115"/>
      <c r="C11" s="116"/>
      <c r="D11" s="116"/>
      <c r="E11" s="116"/>
      <c r="F11" s="116"/>
      <c r="G11" s="116"/>
      <c r="H11" s="116"/>
      <c r="I11" s="116"/>
      <c r="J11" s="116"/>
      <c r="K11" s="116"/>
      <c r="L11" s="116"/>
      <c r="M11" s="116"/>
      <c r="N11" s="116"/>
      <c r="O11" s="116"/>
      <c r="P11" s="117"/>
      <c r="Q11" s="32"/>
      <c r="R11" s="118"/>
      <c r="S11" s="32"/>
      <c r="T11" s="32"/>
      <c r="U11" s="32"/>
      <c r="V11" s="32"/>
      <c r="W11" s="32"/>
      <c r="X11" s="32"/>
      <c r="Y11" s="32"/>
      <c r="Z11" s="32"/>
    </row>
    <row r="12">
      <c r="A12" s="120" t="s">
        <v>72</v>
      </c>
      <c r="B12" s="120" t="s">
        <v>73</v>
      </c>
      <c r="C12" s="120" t="s">
        <v>74</v>
      </c>
      <c r="D12" s="120" t="s">
        <v>75</v>
      </c>
      <c r="E12" s="120" t="s">
        <v>76</v>
      </c>
      <c r="F12" s="120" t="s">
        <v>6</v>
      </c>
      <c r="G12" s="121"/>
      <c r="H12" s="121"/>
      <c r="I12" s="120" t="s">
        <v>6</v>
      </c>
      <c r="J12" s="121"/>
      <c r="K12" s="121"/>
      <c r="L12" s="120" t="s">
        <v>22</v>
      </c>
      <c r="M12" s="121"/>
      <c r="N12" s="121"/>
      <c r="O12" s="121"/>
      <c r="P12" s="120" t="s">
        <v>78</v>
      </c>
      <c r="Q12" s="122"/>
      <c r="R12" s="123"/>
      <c r="S12" s="124"/>
      <c r="T12" s="124"/>
      <c r="U12" s="124"/>
      <c r="V12" s="124"/>
      <c r="W12" s="124"/>
      <c r="X12" s="124"/>
      <c r="Y12" s="124"/>
      <c r="Z12" s="124"/>
    </row>
    <row r="13">
      <c r="A13" s="120" t="s">
        <v>80</v>
      </c>
      <c r="B13" s="120" t="s">
        <v>81</v>
      </c>
      <c r="C13" s="120" t="s">
        <v>82</v>
      </c>
      <c r="D13" s="120" t="s">
        <v>83</v>
      </c>
      <c r="E13" s="120" t="s">
        <v>84</v>
      </c>
      <c r="F13" s="120" t="s">
        <v>14</v>
      </c>
      <c r="G13" s="121"/>
      <c r="H13" s="121"/>
      <c r="I13" s="120" t="s">
        <v>6</v>
      </c>
      <c r="J13" s="121"/>
      <c r="K13" s="121"/>
      <c r="L13" s="120" t="s">
        <v>22</v>
      </c>
      <c r="M13" s="121"/>
      <c r="N13" s="121"/>
      <c r="O13" s="120" t="s">
        <v>85</v>
      </c>
      <c r="P13" s="120" t="s">
        <v>86</v>
      </c>
      <c r="Q13" s="125"/>
      <c r="R13" s="123"/>
      <c r="S13" s="3"/>
      <c r="T13" s="3"/>
      <c r="U13" s="3"/>
      <c r="V13" s="3"/>
      <c r="W13" s="3"/>
      <c r="X13" s="3"/>
      <c r="Y13" s="3"/>
      <c r="Z13" s="3"/>
    </row>
    <row r="14">
      <c r="A14" s="120" t="s">
        <v>88</v>
      </c>
      <c r="B14" s="120" t="s">
        <v>89</v>
      </c>
      <c r="C14" s="120" t="s">
        <v>90</v>
      </c>
      <c r="D14" s="120" t="s">
        <v>91</v>
      </c>
      <c r="E14" s="120" t="s">
        <v>92</v>
      </c>
      <c r="F14" s="120" t="s">
        <v>6</v>
      </c>
      <c r="G14" s="121"/>
      <c r="H14" s="121"/>
      <c r="I14" s="120" t="s">
        <v>6</v>
      </c>
      <c r="J14" s="121"/>
      <c r="K14" s="121"/>
      <c r="L14" s="120" t="s">
        <v>22</v>
      </c>
      <c r="M14" s="121"/>
      <c r="N14" s="121"/>
      <c r="O14" s="121"/>
      <c r="P14" s="121"/>
      <c r="Q14" s="125"/>
      <c r="R14" s="123"/>
      <c r="S14" s="3"/>
      <c r="T14" s="3"/>
      <c r="U14" s="3"/>
      <c r="V14" s="3"/>
      <c r="W14" s="3"/>
      <c r="X14" s="3"/>
      <c r="Y14" s="3"/>
      <c r="Z14" s="3"/>
    </row>
    <row r="15">
      <c r="A15" s="120" t="s">
        <v>93</v>
      </c>
      <c r="B15" s="120" t="s">
        <v>94</v>
      </c>
      <c r="C15" s="120" t="s">
        <v>95</v>
      </c>
      <c r="D15" s="120" t="s">
        <v>96</v>
      </c>
      <c r="E15" s="120" t="s">
        <v>98</v>
      </c>
      <c r="F15" s="120" t="s">
        <v>6</v>
      </c>
      <c r="G15" s="121"/>
      <c r="H15" s="121"/>
      <c r="I15" s="120" t="s">
        <v>6</v>
      </c>
      <c r="J15" s="121"/>
      <c r="K15" s="121"/>
      <c r="L15" s="120" t="s">
        <v>22</v>
      </c>
      <c r="M15" s="121"/>
      <c r="N15" s="121"/>
      <c r="O15" s="121"/>
      <c r="P15" s="120" t="s">
        <v>99</v>
      </c>
      <c r="Q15" s="126"/>
      <c r="R15" s="118"/>
      <c r="S15" s="32"/>
      <c r="T15" s="32"/>
      <c r="U15" s="32"/>
      <c r="V15" s="32"/>
      <c r="W15" s="32"/>
      <c r="X15" s="32"/>
      <c r="Y15" s="32"/>
      <c r="Z15" s="32"/>
    </row>
    <row r="16">
      <c r="A16" s="120" t="s">
        <v>100</v>
      </c>
      <c r="B16" s="120" t="s">
        <v>101</v>
      </c>
      <c r="C16" s="120" t="s">
        <v>102</v>
      </c>
      <c r="D16" s="120" t="s">
        <v>103</v>
      </c>
      <c r="E16" s="120" t="s">
        <v>98</v>
      </c>
      <c r="F16" s="120" t="s">
        <v>6</v>
      </c>
      <c r="G16" s="121"/>
      <c r="H16" s="121"/>
      <c r="I16" s="120" t="s">
        <v>6</v>
      </c>
      <c r="J16" s="121"/>
      <c r="K16" s="121"/>
      <c r="L16" s="120" t="s">
        <v>22</v>
      </c>
      <c r="M16" s="121"/>
      <c r="N16" s="121"/>
      <c r="O16" s="121"/>
      <c r="P16" s="121"/>
      <c r="Q16" s="125"/>
      <c r="R16" s="123"/>
      <c r="S16" s="3"/>
      <c r="T16" s="3"/>
      <c r="U16" s="3"/>
      <c r="V16" s="3"/>
      <c r="W16" s="3"/>
      <c r="X16" s="3"/>
      <c r="Y16" s="3"/>
      <c r="Z16" s="3"/>
    </row>
    <row r="17">
      <c r="A17" s="129" t="s">
        <v>50</v>
      </c>
      <c r="B17" s="131"/>
      <c r="C17" s="131"/>
      <c r="D17" s="131"/>
      <c r="E17" s="131"/>
      <c r="F17" s="131"/>
      <c r="G17" s="131"/>
      <c r="H17" s="131"/>
      <c r="I17" s="131"/>
      <c r="J17" s="131"/>
      <c r="K17" s="131"/>
      <c r="L17" s="131"/>
      <c r="M17" s="131"/>
      <c r="N17" s="131"/>
      <c r="O17" s="131"/>
      <c r="P17" s="131"/>
      <c r="Q17" s="125"/>
      <c r="R17" s="5"/>
      <c r="S17" s="3"/>
      <c r="T17" s="3"/>
      <c r="U17" s="3"/>
      <c r="V17" s="3"/>
      <c r="W17" s="3"/>
      <c r="X17" s="3"/>
      <c r="Y17" s="3"/>
      <c r="Z17" s="3"/>
    </row>
    <row r="18">
      <c r="A18" s="120" t="s">
        <v>106</v>
      </c>
      <c r="B18" s="120" t="s">
        <v>107</v>
      </c>
      <c r="C18" s="120" t="s">
        <v>108</v>
      </c>
      <c r="D18" s="120" t="s">
        <v>109</v>
      </c>
      <c r="E18" s="120" t="s">
        <v>110</v>
      </c>
      <c r="F18" s="120" t="s">
        <v>6</v>
      </c>
      <c r="G18" s="121"/>
      <c r="H18" s="121"/>
      <c r="I18" s="120" t="s">
        <v>6</v>
      </c>
      <c r="J18" s="121"/>
      <c r="K18" s="121"/>
      <c r="L18" s="120" t="s">
        <v>22</v>
      </c>
      <c r="M18" s="121"/>
      <c r="N18" s="121"/>
      <c r="O18" s="121"/>
      <c r="P18" s="121"/>
      <c r="Q18" s="126"/>
      <c r="R18" s="118"/>
      <c r="S18" s="32"/>
      <c r="T18" s="32"/>
      <c r="U18" s="32"/>
      <c r="V18" s="32"/>
      <c r="W18" s="32"/>
      <c r="X18" s="32"/>
      <c r="Y18" s="32"/>
      <c r="Z18" s="32"/>
    </row>
    <row r="19">
      <c r="A19" s="120" t="s">
        <v>111</v>
      </c>
      <c r="B19" s="120" t="s">
        <v>112</v>
      </c>
      <c r="C19" s="120" t="s">
        <v>113</v>
      </c>
      <c r="D19" s="120" t="s">
        <v>114</v>
      </c>
      <c r="E19" s="120" t="s">
        <v>115</v>
      </c>
      <c r="F19" s="120" t="s">
        <v>6</v>
      </c>
      <c r="G19" s="121"/>
      <c r="H19" s="121"/>
      <c r="I19" s="120" t="s">
        <v>6</v>
      </c>
      <c r="J19" s="121"/>
      <c r="K19" s="121"/>
      <c r="L19" s="120" t="s">
        <v>22</v>
      </c>
      <c r="M19" s="132"/>
      <c r="N19" s="132"/>
      <c r="O19" s="132"/>
      <c r="P19" s="132"/>
      <c r="Q19" s="125"/>
      <c r="R19" s="123"/>
      <c r="S19" s="3"/>
      <c r="T19" s="3"/>
      <c r="U19" s="3"/>
      <c r="V19" s="3"/>
      <c r="W19" s="3"/>
      <c r="X19" s="3"/>
      <c r="Y19" s="3"/>
      <c r="Z19" s="3"/>
    </row>
    <row r="20">
      <c r="A20" s="120" t="s">
        <v>117</v>
      </c>
      <c r="B20" s="120" t="s">
        <v>118</v>
      </c>
      <c r="C20" s="120" t="s">
        <v>119</v>
      </c>
      <c r="D20" s="120" t="s">
        <v>120</v>
      </c>
      <c r="E20" s="121"/>
      <c r="F20" s="120" t="s">
        <v>6</v>
      </c>
      <c r="G20" s="121"/>
      <c r="H20" s="121"/>
      <c r="I20" s="120" t="s">
        <v>6</v>
      </c>
      <c r="J20" s="121"/>
      <c r="K20" s="121"/>
      <c r="L20" s="120" t="s">
        <v>22</v>
      </c>
      <c r="M20" s="132"/>
      <c r="N20" s="132"/>
      <c r="O20" s="132"/>
      <c r="P20" s="132"/>
      <c r="Q20" s="125"/>
      <c r="R20" s="5"/>
      <c r="S20" s="3"/>
      <c r="T20" s="3"/>
      <c r="U20" s="3"/>
      <c r="V20" s="3"/>
      <c r="W20" s="3"/>
      <c r="X20" s="3"/>
      <c r="Y20" s="3"/>
      <c r="Z20" s="3"/>
    </row>
    <row r="21">
      <c r="A21" s="120" t="s">
        <v>122</v>
      </c>
      <c r="B21" s="120" t="s">
        <v>123</v>
      </c>
      <c r="C21" s="120" t="s">
        <v>124</v>
      </c>
      <c r="D21" s="120" t="s">
        <v>125</v>
      </c>
      <c r="E21" s="121"/>
      <c r="F21" s="120" t="s">
        <v>6</v>
      </c>
      <c r="G21" s="121"/>
      <c r="H21" s="121"/>
      <c r="I21" s="120" t="s">
        <v>6</v>
      </c>
      <c r="J21" s="121"/>
      <c r="K21" s="121"/>
      <c r="L21" s="120" t="s">
        <v>22</v>
      </c>
      <c r="M21" s="132"/>
      <c r="N21" s="132"/>
      <c r="O21" s="132"/>
      <c r="P21" s="132"/>
      <c r="Q21" s="125"/>
      <c r="R21" s="5"/>
      <c r="S21" s="3"/>
      <c r="T21" s="3"/>
      <c r="U21" s="3"/>
      <c r="V21" s="3"/>
      <c r="W21" s="3"/>
      <c r="X21" s="3"/>
      <c r="Y21" s="3"/>
      <c r="Z21" s="3"/>
    </row>
    <row r="22">
      <c r="A22" s="129" t="s">
        <v>53</v>
      </c>
      <c r="B22" s="131"/>
      <c r="C22" s="131"/>
      <c r="D22" s="131"/>
      <c r="E22" s="131"/>
      <c r="F22" s="131"/>
      <c r="G22" s="131"/>
      <c r="H22" s="131"/>
      <c r="I22" s="131"/>
      <c r="J22" s="131"/>
      <c r="K22" s="131"/>
      <c r="L22" s="131"/>
      <c r="M22" s="131"/>
      <c r="N22" s="131"/>
      <c r="O22" s="131"/>
      <c r="P22" s="131"/>
      <c r="Q22" s="125"/>
      <c r="R22" s="5"/>
      <c r="S22" s="3"/>
      <c r="T22" s="3"/>
      <c r="U22" s="3"/>
      <c r="V22" s="3"/>
      <c r="W22" s="3"/>
      <c r="X22" s="3"/>
      <c r="Y22" s="3"/>
      <c r="Z22" s="3"/>
    </row>
    <row r="23">
      <c r="A23" s="120" t="s">
        <v>128</v>
      </c>
      <c r="B23" s="120" t="s">
        <v>129</v>
      </c>
      <c r="C23" s="120" t="s">
        <v>130</v>
      </c>
      <c r="D23" s="120" t="s">
        <v>131</v>
      </c>
      <c r="E23" s="120" t="s">
        <v>132</v>
      </c>
      <c r="F23" s="120" t="s">
        <v>6</v>
      </c>
      <c r="G23" s="121"/>
      <c r="H23" s="121"/>
      <c r="I23" s="120" t="s">
        <v>6</v>
      </c>
      <c r="J23" s="121"/>
      <c r="K23" s="121"/>
      <c r="L23" s="120" t="s">
        <v>22</v>
      </c>
      <c r="M23" s="121"/>
      <c r="N23" s="121"/>
      <c r="O23" s="121"/>
      <c r="P23" s="121"/>
      <c r="Q23" s="125"/>
      <c r="R23" s="5"/>
      <c r="S23" s="3"/>
      <c r="T23" s="3"/>
      <c r="U23" s="3"/>
      <c r="V23" s="3"/>
      <c r="W23" s="3"/>
      <c r="X23" s="3"/>
      <c r="Y23" s="3"/>
      <c r="Z23" s="3"/>
    </row>
    <row r="24">
      <c r="A24" s="120" t="s">
        <v>134</v>
      </c>
      <c r="B24" s="120" t="s">
        <v>135</v>
      </c>
      <c r="C24" s="120" t="s">
        <v>136</v>
      </c>
      <c r="D24" s="120" t="s">
        <v>137</v>
      </c>
      <c r="E24" s="121"/>
      <c r="F24" s="120" t="s">
        <v>14</v>
      </c>
      <c r="G24" s="121"/>
      <c r="H24" s="121"/>
      <c r="I24" s="120" t="s">
        <v>6</v>
      </c>
      <c r="J24" s="121"/>
      <c r="K24" s="121"/>
      <c r="L24" s="120" t="s">
        <v>22</v>
      </c>
      <c r="M24" s="121"/>
      <c r="N24" s="121"/>
      <c r="O24" s="120" t="s">
        <v>138</v>
      </c>
      <c r="P24" s="120" t="s">
        <v>139</v>
      </c>
      <c r="Q24" s="125"/>
      <c r="R24" s="5"/>
      <c r="S24" s="3"/>
      <c r="T24" s="3"/>
      <c r="U24" s="3"/>
      <c r="V24" s="3"/>
      <c r="W24" s="3"/>
      <c r="X24" s="3"/>
      <c r="Y24" s="3"/>
      <c r="Z24" s="3"/>
    </row>
    <row r="25">
      <c r="A25" s="120" t="s">
        <v>140</v>
      </c>
      <c r="B25" s="120" t="s">
        <v>141</v>
      </c>
      <c r="C25" s="120" t="s">
        <v>142</v>
      </c>
      <c r="D25" s="120" t="s">
        <v>143</v>
      </c>
      <c r="E25" s="121"/>
      <c r="F25" s="120" t="s">
        <v>6</v>
      </c>
      <c r="G25" s="121"/>
      <c r="H25" s="121"/>
      <c r="I25" s="120" t="s">
        <v>6</v>
      </c>
      <c r="J25" s="121"/>
      <c r="K25" s="121"/>
      <c r="L25" s="120" t="s">
        <v>22</v>
      </c>
      <c r="M25" s="121"/>
      <c r="N25" s="121"/>
      <c r="O25" s="121"/>
      <c r="P25" s="121"/>
      <c r="Q25" s="125"/>
      <c r="R25" s="5"/>
      <c r="S25" s="3"/>
      <c r="T25" s="3"/>
      <c r="U25" s="3"/>
      <c r="V25" s="3"/>
      <c r="W25" s="3"/>
      <c r="X25" s="3"/>
      <c r="Y25" s="3"/>
      <c r="Z25" s="3"/>
    </row>
    <row r="26">
      <c r="A26" s="120" t="s">
        <v>145</v>
      </c>
      <c r="B26" s="120" t="s">
        <v>146</v>
      </c>
      <c r="C26" s="120" t="s">
        <v>147</v>
      </c>
      <c r="D26" s="120" t="s">
        <v>148</v>
      </c>
      <c r="E26" s="121"/>
      <c r="F26" s="120" t="s">
        <v>6</v>
      </c>
      <c r="G26" s="121"/>
      <c r="H26" s="121"/>
      <c r="I26" s="120" t="s">
        <v>6</v>
      </c>
      <c r="J26" s="121"/>
      <c r="K26" s="121"/>
      <c r="L26" s="120" t="s">
        <v>22</v>
      </c>
      <c r="M26" s="121"/>
      <c r="N26" s="121"/>
      <c r="O26" s="121"/>
      <c r="P26" s="120" t="s">
        <v>149</v>
      </c>
      <c r="Q26" s="125"/>
      <c r="R26" s="5"/>
      <c r="S26" s="3"/>
      <c r="T26" s="3"/>
      <c r="U26" s="3"/>
      <c r="V26" s="3"/>
      <c r="W26" s="3"/>
      <c r="X26" s="3"/>
      <c r="Y26" s="3"/>
      <c r="Z26" s="3"/>
    </row>
    <row r="27">
      <c r="A27" s="129" t="s">
        <v>58</v>
      </c>
      <c r="B27" s="131"/>
      <c r="C27" s="131"/>
      <c r="D27" s="131"/>
      <c r="E27" s="131"/>
      <c r="F27" s="131"/>
      <c r="G27" s="131"/>
      <c r="H27" s="131"/>
      <c r="I27" s="131"/>
      <c r="J27" s="131"/>
      <c r="K27" s="131"/>
      <c r="L27" s="131"/>
      <c r="M27" s="131"/>
      <c r="N27" s="131"/>
      <c r="O27" s="131"/>
      <c r="P27" s="131"/>
      <c r="Q27" s="125"/>
      <c r="R27" s="5"/>
      <c r="S27" s="3"/>
      <c r="T27" s="3"/>
      <c r="U27" s="3"/>
      <c r="V27" s="3"/>
      <c r="W27" s="3"/>
      <c r="X27" s="3"/>
      <c r="Y27" s="3"/>
      <c r="Z27" s="3"/>
    </row>
    <row r="28">
      <c r="A28" s="120" t="s">
        <v>151</v>
      </c>
      <c r="B28" s="120" t="s">
        <v>152</v>
      </c>
      <c r="C28" s="120" t="s">
        <v>153</v>
      </c>
      <c r="D28" s="120" t="s">
        <v>155</v>
      </c>
      <c r="E28" s="120" t="s">
        <v>156</v>
      </c>
      <c r="F28" s="120" t="s">
        <v>6</v>
      </c>
      <c r="G28" s="121"/>
      <c r="H28" s="121"/>
      <c r="I28" s="120" t="s">
        <v>6</v>
      </c>
      <c r="J28" s="121"/>
      <c r="K28" s="121"/>
      <c r="L28" s="120" t="s">
        <v>22</v>
      </c>
      <c r="M28" s="121"/>
      <c r="N28" s="121"/>
      <c r="O28" s="121"/>
      <c r="P28" s="121"/>
      <c r="Q28" s="125"/>
      <c r="R28" s="5"/>
      <c r="S28" s="3"/>
      <c r="T28" s="3"/>
      <c r="U28" s="3"/>
      <c r="V28" s="3"/>
      <c r="W28" s="3"/>
      <c r="X28" s="3"/>
      <c r="Y28" s="3"/>
      <c r="Z28" s="3"/>
    </row>
    <row r="29">
      <c r="A29" s="120" t="s">
        <v>157</v>
      </c>
      <c r="B29" s="120" t="s">
        <v>158</v>
      </c>
      <c r="C29" s="120" t="s">
        <v>159</v>
      </c>
      <c r="D29" s="120" t="s">
        <v>160</v>
      </c>
      <c r="E29" s="120" t="s">
        <v>161</v>
      </c>
      <c r="F29" s="120" t="s">
        <v>6</v>
      </c>
      <c r="G29" s="121"/>
      <c r="H29" s="121"/>
      <c r="I29" s="120" t="s">
        <v>6</v>
      </c>
      <c r="J29" s="121"/>
      <c r="K29" s="121"/>
      <c r="L29" s="120" t="s">
        <v>22</v>
      </c>
      <c r="M29" s="121"/>
      <c r="N29" s="121"/>
      <c r="O29" s="121"/>
      <c r="P29" s="121"/>
      <c r="Q29" s="125"/>
      <c r="R29" s="5"/>
      <c r="S29" s="3"/>
      <c r="T29" s="3"/>
      <c r="U29" s="3"/>
      <c r="V29" s="3"/>
      <c r="W29" s="3"/>
      <c r="X29" s="3"/>
      <c r="Y29" s="3"/>
      <c r="Z29" s="3"/>
    </row>
    <row r="30">
      <c r="A30" s="120" t="s">
        <v>162</v>
      </c>
      <c r="B30" s="120" t="s">
        <v>163</v>
      </c>
      <c r="C30" s="120" t="s">
        <v>164</v>
      </c>
      <c r="D30" s="120" t="s">
        <v>165</v>
      </c>
      <c r="E30" s="120" t="s">
        <v>166</v>
      </c>
      <c r="F30" s="120" t="s">
        <v>6</v>
      </c>
      <c r="G30" s="121"/>
      <c r="H30" s="121"/>
      <c r="I30" s="120" t="s">
        <v>6</v>
      </c>
      <c r="J30" s="121"/>
      <c r="K30" s="121"/>
      <c r="L30" s="120" t="s">
        <v>22</v>
      </c>
      <c r="M30" s="121"/>
      <c r="N30" s="121"/>
      <c r="O30" s="121"/>
      <c r="P30" s="121"/>
      <c r="Q30" s="125"/>
      <c r="R30" s="5"/>
      <c r="S30" s="3"/>
      <c r="T30" s="3"/>
      <c r="U30" s="3"/>
      <c r="V30" s="3"/>
      <c r="W30" s="3"/>
      <c r="X30" s="3"/>
      <c r="Y30" s="3"/>
      <c r="Z30" s="3"/>
    </row>
    <row r="31">
      <c r="A31" s="120" t="s">
        <v>167</v>
      </c>
      <c r="B31" s="120" t="s">
        <v>168</v>
      </c>
      <c r="C31" s="120" t="s">
        <v>169</v>
      </c>
      <c r="D31" s="120" t="s">
        <v>170</v>
      </c>
      <c r="E31" s="121"/>
      <c r="F31" s="120" t="s">
        <v>14</v>
      </c>
      <c r="G31" s="121"/>
      <c r="H31" s="121"/>
      <c r="I31" s="120" t="s">
        <v>6</v>
      </c>
      <c r="J31" s="121"/>
      <c r="K31" s="121"/>
      <c r="L31" s="120" t="s">
        <v>22</v>
      </c>
      <c r="M31" s="121"/>
      <c r="N31" s="121"/>
      <c r="O31" s="120" t="s">
        <v>171</v>
      </c>
      <c r="P31" s="120" t="s">
        <v>172</v>
      </c>
      <c r="Q31" s="125"/>
      <c r="R31" s="5"/>
      <c r="S31" s="3"/>
      <c r="T31" s="3"/>
      <c r="U31" s="3"/>
      <c r="V31" s="3"/>
      <c r="W31" s="3"/>
      <c r="X31" s="3"/>
      <c r="Y31" s="3"/>
      <c r="Z31" s="3"/>
    </row>
    <row r="32">
      <c r="A32" s="129" t="s">
        <v>59</v>
      </c>
      <c r="B32" s="131"/>
      <c r="C32" s="131"/>
      <c r="D32" s="131"/>
      <c r="E32" s="131"/>
      <c r="F32" s="131"/>
      <c r="G32" s="131"/>
      <c r="H32" s="131"/>
      <c r="I32" s="131"/>
      <c r="J32" s="131"/>
      <c r="K32" s="131"/>
      <c r="L32" s="131"/>
      <c r="M32" s="131"/>
      <c r="N32" s="131"/>
      <c r="O32" s="131"/>
      <c r="P32" s="131"/>
      <c r="Q32" s="125"/>
      <c r="R32" s="5"/>
      <c r="S32" s="3"/>
      <c r="T32" s="3"/>
      <c r="U32" s="3"/>
      <c r="V32" s="3"/>
      <c r="W32" s="3"/>
      <c r="X32" s="3"/>
      <c r="Y32" s="3"/>
      <c r="Z32" s="3"/>
    </row>
    <row r="33">
      <c r="A33" s="120" t="s">
        <v>173</v>
      </c>
      <c r="B33" s="120" t="s">
        <v>174</v>
      </c>
      <c r="C33" s="120" t="s">
        <v>175</v>
      </c>
      <c r="D33" s="120" t="s">
        <v>176</v>
      </c>
      <c r="E33" s="120" t="s">
        <v>177</v>
      </c>
      <c r="F33" s="120" t="s">
        <v>6</v>
      </c>
      <c r="G33" s="121"/>
      <c r="H33" s="121"/>
      <c r="I33" s="120" t="s">
        <v>6</v>
      </c>
      <c r="J33" s="121"/>
      <c r="K33" s="121"/>
      <c r="L33" s="120" t="s">
        <v>22</v>
      </c>
      <c r="M33" s="121"/>
      <c r="N33" s="121"/>
      <c r="O33" s="121"/>
      <c r="P33" s="121"/>
      <c r="Q33" s="125"/>
      <c r="R33" s="5"/>
      <c r="S33" s="3"/>
      <c r="T33" s="3"/>
      <c r="U33" s="3"/>
      <c r="V33" s="3"/>
      <c r="W33" s="3"/>
      <c r="X33" s="3"/>
      <c r="Y33" s="3"/>
      <c r="Z33" s="3"/>
    </row>
    <row r="34">
      <c r="A34" s="120" t="s">
        <v>178</v>
      </c>
      <c r="B34" s="120" t="s">
        <v>177</v>
      </c>
      <c r="C34" s="120" t="s">
        <v>179</v>
      </c>
      <c r="D34" s="120" t="s">
        <v>180</v>
      </c>
      <c r="E34" s="120" t="s">
        <v>181</v>
      </c>
      <c r="F34" s="120" t="s">
        <v>6</v>
      </c>
      <c r="G34" s="121"/>
      <c r="H34" s="121"/>
      <c r="I34" s="120" t="s">
        <v>6</v>
      </c>
      <c r="J34" s="121"/>
      <c r="K34" s="121"/>
      <c r="L34" s="120" t="s">
        <v>22</v>
      </c>
      <c r="M34" s="132"/>
      <c r="N34" s="132"/>
      <c r="O34" s="132"/>
      <c r="P34" s="132"/>
      <c r="Q34" s="125"/>
      <c r="R34" s="5"/>
      <c r="S34" s="3"/>
      <c r="T34" s="3"/>
      <c r="U34" s="3"/>
      <c r="V34" s="3"/>
      <c r="W34" s="3"/>
      <c r="X34" s="3"/>
      <c r="Y34" s="3"/>
      <c r="Z34" s="3"/>
    </row>
    <row r="35">
      <c r="A35" s="120" t="s">
        <v>182</v>
      </c>
      <c r="B35" s="120" t="s">
        <v>183</v>
      </c>
      <c r="C35" s="120" t="s">
        <v>184</v>
      </c>
      <c r="D35" s="120" t="s">
        <v>185</v>
      </c>
      <c r="E35" s="120" t="s">
        <v>186</v>
      </c>
      <c r="F35" s="120" t="s">
        <v>6</v>
      </c>
      <c r="G35" s="121"/>
      <c r="H35" s="121"/>
      <c r="I35" s="120" t="s">
        <v>6</v>
      </c>
      <c r="J35" s="121"/>
      <c r="K35" s="121"/>
      <c r="L35" s="120" t="s">
        <v>22</v>
      </c>
      <c r="M35" s="132"/>
      <c r="N35" s="132"/>
      <c r="O35" s="132"/>
      <c r="P35" s="132"/>
      <c r="Q35" s="125"/>
      <c r="R35" s="5"/>
      <c r="S35" s="3"/>
      <c r="T35" s="3"/>
      <c r="U35" s="3"/>
      <c r="V35" s="3"/>
      <c r="W35" s="3"/>
      <c r="X35" s="3"/>
      <c r="Y35" s="3"/>
      <c r="Z35" s="3"/>
    </row>
    <row r="36">
      <c r="A36" s="120" t="s">
        <v>187</v>
      </c>
      <c r="B36" s="120" t="s">
        <v>188</v>
      </c>
      <c r="C36" s="120" t="s">
        <v>189</v>
      </c>
      <c r="D36" s="120" t="s">
        <v>190</v>
      </c>
      <c r="E36" s="121"/>
      <c r="F36" s="120" t="s">
        <v>6</v>
      </c>
      <c r="G36" s="121"/>
      <c r="H36" s="121"/>
      <c r="I36" s="120" t="s">
        <v>6</v>
      </c>
      <c r="J36" s="121"/>
      <c r="K36" s="121"/>
      <c r="L36" s="120" t="s">
        <v>22</v>
      </c>
      <c r="M36" s="132"/>
      <c r="N36" s="132"/>
      <c r="O36" s="132"/>
      <c r="P36" s="132"/>
      <c r="Q36" s="125"/>
      <c r="R36" s="5"/>
      <c r="S36" s="3"/>
      <c r="T36" s="3"/>
      <c r="U36" s="3"/>
      <c r="V36" s="3"/>
      <c r="W36" s="3"/>
      <c r="X36" s="3"/>
      <c r="Y36" s="3"/>
      <c r="Z36" s="3"/>
    </row>
    <row r="37" ht="12.75" customHeight="1">
      <c r="A37" s="151"/>
      <c r="B37" s="151"/>
      <c r="C37" s="151"/>
      <c r="D37" s="151"/>
      <c r="E37" s="151"/>
      <c r="F37" s="151"/>
      <c r="G37" s="151"/>
      <c r="H37" s="151"/>
      <c r="I37" s="151"/>
      <c r="J37" s="151"/>
      <c r="K37" s="151"/>
      <c r="L37" s="151"/>
      <c r="M37" s="151"/>
      <c r="N37" s="151"/>
      <c r="O37" s="151"/>
      <c r="P37" s="151"/>
      <c r="Q37" s="3"/>
      <c r="R37" s="5"/>
      <c r="S37" s="3"/>
      <c r="T37" s="3"/>
      <c r="U37" s="3"/>
      <c r="V37" s="3"/>
      <c r="W37" s="3"/>
      <c r="X37" s="3"/>
      <c r="Y37" s="3"/>
      <c r="Z37" s="3"/>
    </row>
    <row r="38" ht="12.75" customHeight="1">
      <c r="A38" s="3"/>
      <c r="B38" s="3"/>
      <c r="C38" s="3"/>
      <c r="D38" s="3"/>
      <c r="E38" s="3"/>
      <c r="F38" s="3"/>
      <c r="G38" s="3"/>
      <c r="H38" s="3"/>
      <c r="I38" s="3"/>
      <c r="J38" s="3"/>
      <c r="K38" s="3"/>
      <c r="L38" s="3"/>
      <c r="M38" s="3"/>
      <c r="N38" s="3"/>
      <c r="O38" s="3"/>
      <c r="P38" s="3"/>
      <c r="Q38" s="3"/>
      <c r="R38" s="5"/>
      <c r="S38" s="3"/>
      <c r="T38" s="3"/>
      <c r="U38" s="3"/>
      <c r="V38" s="3"/>
      <c r="W38" s="3"/>
      <c r="X38" s="3"/>
      <c r="Y38" s="3"/>
      <c r="Z38" s="3"/>
    </row>
    <row r="39" ht="12.75" customHeight="1">
      <c r="A39" s="3"/>
      <c r="B39" s="3"/>
      <c r="C39" s="3"/>
      <c r="D39" s="3"/>
      <c r="E39" s="3"/>
      <c r="F39" s="3"/>
      <c r="G39" s="3"/>
      <c r="H39" s="3"/>
      <c r="I39" s="3"/>
      <c r="J39" s="3"/>
      <c r="K39" s="3"/>
      <c r="L39" s="3"/>
      <c r="M39" s="3"/>
      <c r="N39" s="3"/>
      <c r="O39" s="3"/>
      <c r="P39" s="3"/>
      <c r="Q39" s="3"/>
      <c r="R39" s="5"/>
      <c r="S39" s="3"/>
      <c r="T39" s="3"/>
      <c r="U39" s="3"/>
      <c r="V39" s="3"/>
      <c r="W39" s="3"/>
      <c r="X39" s="3"/>
      <c r="Y39" s="3"/>
      <c r="Z39" s="3"/>
    </row>
    <row r="40" ht="12.75" customHeight="1">
      <c r="A40" s="3"/>
      <c r="B40" s="3"/>
      <c r="C40" s="3"/>
      <c r="D40" s="3"/>
      <c r="E40" s="3"/>
      <c r="F40" s="3"/>
      <c r="G40" s="3"/>
      <c r="H40" s="3"/>
      <c r="I40" s="3"/>
      <c r="J40" s="3"/>
      <c r="K40" s="3"/>
      <c r="L40" s="3"/>
      <c r="M40" s="3"/>
      <c r="N40" s="3"/>
      <c r="O40" s="3"/>
      <c r="P40" s="3"/>
      <c r="Q40" s="3"/>
      <c r="R40" s="5"/>
      <c r="S40" s="3"/>
      <c r="T40" s="3"/>
      <c r="U40" s="3"/>
      <c r="V40" s="3"/>
      <c r="W40" s="3"/>
      <c r="X40" s="3"/>
      <c r="Y40" s="3"/>
      <c r="Z40" s="3"/>
    </row>
    <row r="41" ht="12.75" customHeight="1">
      <c r="A41" s="3"/>
      <c r="B41" s="3"/>
      <c r="C41" s="3"/>
      <c r="D41" s="3"/>
      <c r="E41" s="3"/>
      <c r="F41" s="3"/>
      <c r="G41" s="3"/>
      <c r="H41" s="3"/>
      <c r="I41" s="3"/>
      <c r="J41" s="3"/>
      <c r="K41" s="3"/>
      <c r="L41" s="3"/>
      <c r="M41" s="3"/>
      <c r="N41" s="3"/>
      <c r="O41" s="3"/>
      <c r="P41" s="3"/>
      <c r="Q41" s="3"/>
      <c r="R41" s="5"/>
      <c r="S41" s="3"/>
      <c r="T41" s="3"/>
      <c r="U41" s="3"/>
      <c r="V41" s="3"/>
      <c r="W41" s="3"/>
      <c r="X41" s="3"/>
      <c r="Y41" s="3"/>
      <c r="Z41" s="3"/>
    </row>
    <row r="42" ht="12.75" customHeight="1">
      <c r="A42" s="3"/>
      <c r="B42" s="3"/>
      <c r="C42" s="3"/>
      <c r="D42" s="3"/>
      <c r="E42" s="3"/>
      <c r="F42" s="3"/>
      <c r="G42" s="3"/>
      <c r="H42" s="3"/>
      <c r="I42" s="3"/>
      <c r="J42" s="3"/>
      <c r="K42" s="3"/>
      <c r="L42" s="3"/>
      <c r="M42" s="3"/>
      <c r="N42" s="3"/>
      <c r="O42" s="3"/>
      <c r="P42" s="3"/>
      <c r="Q42" s="3"/>
      <c r="R42" s="5"/>
      <c r="S42" s="3"/>
      <c r="T42" s="3"/>
      <c r="U42" s="3"/>
      <c r="V42" s="3"/>
      <c r="W42" s="3"/>
      <c r="X42" s="3"/>
      <c r="Y42" s="3"/>
      <c r="Z42" s="3"/>
    </row>
    <row r="43" ht="12.75" customHeight="1">
      <c r="A43" s="3"/>
      <c r="B43" s="3"/>
      <c r="C43" s="3"/>
      <c r="D43" s="3"/>
      <c r="E43" s="3"/>
      <c r="F43" s="3"/>
      <c r="G43" s="3"/>
      <c r="H43" s="3"/>
      <c r="I43" s="3"/>
      <c r="J43" s="3"/>
      <c r="K43" s="3"/>
      <c r="L43" s="3"/>
      <c r="M43" s="3"/>
      <c r="N43" s="3"/>
      <c r="O43" s="3"/>
      <c r="P43" s="3"/>
      <c r="Q43" s="3"/>
      <c r="R43" s="5"/>
      <c r="S43" s="3"/>
      <c r="T43" s="3"/>
      <c r="U43" s="3"/>
      <c r="V43" s="3"/>
      <c r="W43" s="3"/>
      <c r="X43" s="3"/>
      <c r="Y43" s="3"/>
      <c r="Z43" s="3"/>
    </row>
    <row r="44" ht="12.75" customHeight="1">
      <c r="A44" s="3"/>
      <c r="B44" s="3"/>
      <c r="C44" s="3"/>
      <c r="D44" s="3"/>
      <c r="E44" s="3"/>
      <c r="F44" s="3"/>
      <c r="G44" s="3"/>
      <c r="H44" s="3"/>
      <c r="I44" s="3"/>
      <c r="J44" s="3"/>
      <c r="K44" s="3"/>
      <c r="L44" s="3"/>
      <c r="M44" s="3"/>
      <c r="N44" s="3"/>
      <c r="O44" s="3"/>
      <c r="P44" s="3"/>
      <c r="Q44" s="3"/>
      <c r="R44" s="5"/>
      <c r="S44" s="3"/>
      <c r="T44" s="3"/>
      <c r="U44" s="3"/>
      <c r="V44" s="3"/>
      <c r="W44" s="3"/>
      <c r="X44" s="3"/>
      <c r="Y44" s="3"/>
      <c r="Z44" s="3"/>
    </row>
    <row r="45" ht="12.75" customHeight="1">
      <c r="A45" s="3"/>
      <c r="B45" s="3"/>
      <c r="C45" s="3"/>
      <c r="D45" s="3"/>
      <c r="E45" s="3"/>
      <c r="F45" s="3"/>
      <c r="G45" s="3"/>
      <c r="H45" s="3"/>
      <c r="I45" s="3"/>
      <c r="J45" s="3"/>
      <c r="K45" s="3"/>
      <c r="L45" s="3"/>
      <c r="M45" s="3"/>
      <c r="N45" s="3"/>
      <c r="O45" s="3"/>
      <c r="P45" s="3"/>
      <c r="Q45" s="3"/>
      <c r="R45" s="5"/>
      <c r="S45" s="3"/>
      <c r="T45" s="3"/>
      <c r="U45" s="3"/>
      <c r="V45" s="3"/>
      <c r="W45" s="3"/>
      <c r="X45" s="3"/>
      <c r="Y45" s="3"/>
      <c r="Z45" s="3"/>
    </row>
    <row r="46" ht="12.75" customHeight="1">
      <c r="A46" s="3"/>
      <c r="B46" s="3"/>
      <c r="C46" s="3"/>
      <c r="D46" s="3"/>
      <c r="E46" s="3"/>
      <c r="F46" s="3"/>
      <c r="G46" s="3"/>
      <c r="H46" s="3"/>
      <c r="I46" s="3"/>
      <c r="J46" s="3"/>
      <c r="K46" s="3"/>
      <c r="L46" s="3"/>
      <c r="M46" s="3"/>
      <c r="N46" s="3"/>
      <c r="O46" s="3"/>
      <c r="P46" s="3"/>
      <c r="Q46" s="3"/>
      <c r="R46" s="5"/>
      <c r="S46" s="3"/>
      <c r="T46" s="3"/>
      <c r="U46" s="3"/>
      <c r="V46" s="3"/>
      <c r="W46" s="3"/>
      <c r="X46" s="3"/>
      <c r="Y46" s="3"/>
      <c r="Z46" s="3"/>
    </row>
    <row r="47" ht="12.75" customHeight="1">
      <c r="A47" s="3"/>
      <c r="B47" s="3"/>
      <c r="C47" s="3"/>
      <c r="D47" s="3"/>
      <c r="E47" s="3"/>
      <c r="F47" s="3"/>
      <c r="G47" s="3"/>
      <c r="H47" s="3"/>
      <c r="I47" s="3"/>
      <c r="J47" s="3"/>
      <c r="K47" s="3"/>
      <c r="L47" s="3"/>
      <c r="M47" s="3"/>
      <c r="N47" s="3"/>
      <c r="O47" s="3"/>
      <c r="P47" s="3"/>
      <c r="Q47" s="3"/>
      <c r="R47" s="5"/>
      <c r="S47" s="3"/>
      <c r="T47" s="3"/>
      <c r="U47" s="3"/>
      <c r="V47" s="3"/>
      <c r="W47" s="3"/>
      <c r="X47" s="3"/>
      <c r="Y47" s="3"/>
      <c r="Z47" s="3"/>
    </row>
    <row r="48" ht="12.75" customHeight="1">
      <c r="A48" s="3"/>
      <c r="B48" s="3"/>
      <c r="C48" s="3"/>
      <c r="D48" s="3"/>
      <c r="E48" s="3"/>
      <c r="F48" s="3"/>
      <c r="G48" s="3"/>
      <c r="H48" s="3"/>
      <c r="I48" s="3"/>
      <c r="J48" s="3"/>
      <c r="K48" s="3"/>
      <c r="L48" s="3"/>
      <c r="M48" s="3"/>
      <c r="N48" s="3"/>
      <c r="O48" s="3"/>
      <c r="P48" s="3"/>
      <c r="Q48" s="3"/>
      <c r="R48" s="5"/>
      <c r="S48" s="3"/>
      <c r="T48" s="3"/>
      <c r="U48" s="3"/>
      <c r="V48" s="3"/>
      <c r="W48" s="3"/>
      <c r="X48" s="3"/>
      <c r="Y48" s="3"/>
      <c r="Z48" s="3"/>
    </row>
    <row r="49" ht="12.75" customHeight="1">
      <c r="A49" s="3"/>
      <c r="B49" s="3"/>
      <c r="C49" s="3"/>
      <c r="D49" s="3"/>
      <c r="E49" s="3"/>
      <c r="F49" s="3"/>
      <c r="G49" s="3"/>
      <c r="H49" s="3"/>
      <c r="I49" s="3"/>
      <c r="J49" s="3"/>
      <c r="K49" s="3"/>
      <c r="L49" s="3"/>
      <c r="M49" s="3"/>
      <c r="N49" s="3"/>
      <c r="O49" s="3"/>
      <c r="P49" s="3"/>
      <c r="Q49" s="3"/>
      <c r="R49" s="5"/>
      <c r="S49" s="3"/>
      <c r="T49" s="3"/>
      <c r="U49" s="3"/>
      <c r="V49" s="3"/>
      <c r="W49" s="3"/>
      <c r="X49" s="3"/>
      <c r="Y49" s="3"/>
      <c r="Z49" s="3"/>
    </row>
    <row r="50" ht="12.75" customHeight="1">
      <c r="A50" s="3"/>
      <c r="B50" s="3"/>
      <c r="C50" s="3"/>
      <c r="D50" s="3"/>
      <c r="E50" s="3"/>
      <c r="F50" s="3"/>
      <c r="G50" s="3"/>
      <c r="H50" s="3"/>
      <c r="I50" s="3"/>
      <c r="J50" s="3"/>
      <c r="K50" s="3"/>
      <c r="L50" s="3"/>
      <c r="M50" s="3"/>
      <c r="N50" s="3"/>
      <c r="O50" s="3"/>
      <c r="P50" s="3"/>
      <c r="Q50" s="3"/>
      <c r="R50" s="5"/>
      <c r="S50" s="3"/>
      <c r="T50" s="3"/>
      <c r="U50" s="3"/>
      <c r="V50" s="3"/>
      <c r="W50" s="3"/>
      <c r="X50" s="3"/>
      <c r="Y50" s="3"/>
      <c r="Z50" s="3"/>
    </row>
    <row r="51" ht="12.75" customHeight="1">
      <c r="A51" s="3"/>
      <c r="B51" s="3"/>
      <c r="C51" s="3"/>
      <c r="D51" s="3"/>
      <c r="E51" s="3"/>
      <c r="F51" s="3"/>
      <c r="G51" s="3"/>
      <c r="H51" s="3"/>
      <c r="I51" s="3"/>
      <c r="J51" s="3"/>
      <c r="K51" s="3"/>
      <c r="L51" s="3"/>
      <c r="M51" s="3"/>
      <c r="N51" s="3"/>
      <c r="O51" s="3"/>
      <c r="P51" s="3"/>
      <c r="Q51" s="3"/>
      <c r="R51" s="5"/>
      <c r="S51" s="3"/>
      <c r="T51" s="3"/>
      <c r="U51" s="3"/>
      <c r="V51" s="3"/>
      <c r="W51" s="3"/>
      <c r="X51" s="3"/>
      <c r="Y51" s="3"/>
      <c r="Z51" s="3"/>
    </row>
    <row r="52" ht="12.75" customHeight="1">
      <c r="A52" s="3"/>
      <c r="B52" s="3"/>
      <c r="C52" s="3"/>
      <c r="D52" s="3"/>
      <c r="E52" s="3"/>
      <c r="F52" s="3"/>
      <c r="G52" s="3"/>
      <c r="H52" s="3"/>
      <c r="I52" s="3"/>
      <c r="J52" s="3"/>
      <c r="K52" s="3"/>
      <c r="L52" s="3"/>
      <c r="M52" s="3"/>
      <c r="N52" s="3"/>
      <c r="O52" s="3"/>
      <c r="P52" s="3"/>
      <c r="Q52" s="3"/>
      <c r="R52" s="5"/>
      <c r="S52" s="3"/>
      <c r="T52" s="3"/>
      <c r="U52" s="3"/>
      <c r="V52" s="3"/>
      <c r="W52" s="3"/>
      <c r="X52" s="3"/>
      <c r="Y52" s="3"/>
      <c r="Z52" s="3"/>
    </row>
    <row r="53" ht="12.75" customHeight="1">
      <c r="A53" s="3"/>
      <c r="B53" s="3"/>
      <c r="C53" s="3"/>
      <c r="D53" s="3"/>
      <c r="E53" s="3"/>
      <c r="F53" s="3"/>
      <c r="G53" s="3"/>
      <c r="H53" s="3"/>
      <c r="I53" s="3"/>
      <c r="J53" s="3"/>
      <c r="K53" s="3"/>
      <c r="L53" s="3"/>
      <c r="M53" s="3"/>
      <c r="N53" s="3"/>
      <c r="O53" s="3"/>
      <c r="P53" s="3"/>
      <c r="Q53" s="3"/>
      <c r="R53" s="5"/>
      <c r="S53" s="3"/>
      <c r="T53" s="3"/>
      <c r="U53" s="3"/>
      <c r="V53" s="3"/>
      <c r="W53" s="3"/>
      <c r="X53" s="3"/>
      <c r="Y53" s="3"/>
      <c r="Z53" s="3"/>
    </row>
    <row r="54" ht="12.75" customHeight="1">
      <c r="A54" s="3"/>
      <c r="B54" s="3"/>
      <c r="C54" s="3"/>
      <c r="D54" s="3"/>
      <c r="E54" s="3"/>
      <c r="F54" s="3"/>
      <c r="G54" s="3"/>
      <c r="H54" s="3"/>
      <c r="I54" s="3"/>
      <c r="J54" s="3"/>
      <c r="K54" s="3"/>
      <c r="L54" s="3"/>
      <c r="M54" s="3"/>
      <c r="N54" s="3"/>
      <c r="O54" s="3"/>
      <c r="P54" s="3"/>
      <c r="Q54" s="3"/>
      <c r="R54" s="5"/>
      <c r="S54" s="3"/>
      <c r="T54" s="3"/>
      <c r="U54" s="3"/>
      <c r="V54" s="3"/>
      <c r="W54" s="3"/>
      <c r="X54" s="3"/>
      <c r="Y54" s="3"/>
      <c r="Z54" s="3"/>
    </row>
    <row r="55" ht="12.75" customHeight="1">
      <c r="A55" s="3"/>
      <c r="B55" s="3"/>
      <c r="C55" s="3"/>
      <c r="D55" s="3"/>
      <c r="E55" s="3"/>
      <c r="F55" s="3"/>
      <c r="G55" s="3"/>
      <c r="H55" s="3"/>
      <c r="I55" s="3"/>
      <c r="J55" s="3"/>
      <c r="K55" s="3"/>
      <c r="L55" s="3"/>
      <c r="M55" s="3"/>
      <c r="N55" s="3"/>
      <c r="O55" s="3"/>
      <c r="P55" s="3"/>
      <c r="Q55" s="3"/>
      <c r="R55" s="5"/>
      <c r="S55" s="3"/>
      <c r="T55" s="3"/>
      <c r="U55" s="3"/>
      <c r="V55" s="3"/>
      <c r="W55" s="3"/>
      <c r="X55" s="3"/>
      <c r="Y55" s="3"/>
      <c r="Z55" s="3"/>
    </row>
    <row r="56" ht="12.75" customHeight="1">
      <c r="A56" s="3"/>
      <c r="B56" s="3"/>
      <c r="C56" s="3"/>
      <c r="D56" s="3"/>
      <c r="E56" s="3"/>
      <c r="F56" s="3"/>
      <c r="G56" s="3"/>
      <c r="H56" s="3"/>
      <c r="I56" s="3"/>
      <c r="J56" s="3"/>
      <c r="K56" s="3"/>
      <c r="L56" s="3"/>
      <c r="M56" s="3"/>
      <c r="N56" s="3"/>
      <c r="O56" s="3"/>
      <c r="P56" s="3"/>
      <c r="Q56" s="3"/>
      <c r="R56" s="5"/>
      <c r="S56" s="3"/>
      <c r="T56" s="3"/>
      <c r="U56" s="3"/>
      <c r="V56" s="3"/>
      <c r="W56" s="3"/>
      <c r="X56" s="3"/>
      <c r="Y56" s="3"/>
      <c r="Z56" s="3"/>
    </row>
    <row r="57" ht="12.75" customHeight="1">
      <c r="A57" s="3"/>
      <c r="B57" s="3"/>
      <c r="C57" s="3"/>
      <c r="D57" s="3"/>
      <c r="E57" s="3"/>
      <c r="F57" s="3"/>
      <c r="G57" s="3"/>
      <c r="H57" s="3"/>
      <c r="I57" s="3"/>
      <c r="J57" s="3"/>
      <c r="K57" s="3"/>
      <c r="L57" s="3"/>
      <c r="M57" s="3"/>
      <c r="N57" s="3"/>
      <c r="O57" s="3"/>
      <c r="P57" s="3"/>
      <c r="Q57" s="3"/>
      <c r="R57" s="5"/>
      <c r="S57" s="3"/>
      <c r="T57" s="3"/>
      <c r="U57" s="3"/>
      <c r="V57" s="3"/>
      <c r="W57" s="3"/>
      <c r="X57" s="3"/>
      <c r="Y57" s="3"/>
      <c r="Z57" s="3"/>
    </row>
    <row r="58" ht="12.75" customHeight="1">
      <c r="A58" s="3"/>
      <c r="B58" s="3"/>
      <c r="C58" s="3"/>
      <c r="D58" s="3"/>
      <c r="E58" s="3"/>
      <c r="F58" s="3"/>
      <c r="G58" s="3"/>
      <c r="H58" s="3"/>
      <c r="I58" s="3"/>
      <c r="J58" s="3"/>
      <c r="K58" s="3"/>
      <c r="L58" s="3"/>
      <c r="M58" s="3"/>
      <c r="N58" s="3"/>
      <c r="O58" s="3"/>
      <c r="P58" s="3"/>
      <c r="Q58" s="3"/>
      <c r="R58" s="5"/>
      <c r="S58" s="3"/>
      <c r="T58" s="3"/>
      <c r="U58" s="3"/>
      <c r="V58" s="3"/>
      <c r="W58" s="3"/>
      <c r="X58" s="3"/>
      <c r="Y58" s="3"/>
      <c r="Z58" s="3"/>
    </row>
    <row r="59" ht="12.75" customHeight="1">
      <c r="A59" s="3"/>
      <c r="B59" s="3"/>
      <c r="C59" s="3"/>
      <c r="D59" s="3"/>
      <c r="E59" s="3"/>
      <c r="F59" s="3"/>
      <c r="G59" s="3"/>
      <c r="H59" s="3"/>
      <c r="I59" s="3"/>
      <c r="J59" s="3"/>
      <c r="K59" s="3"/>
      <c r="L59" s="3"/>
      <c r="M59" s="3"/>
      <c r="N59" s="3"/>
      <c r="O59" s="3"/>
      <c r="P59" s="3"/>
      <c r="Q59" s="3"/>
      <c r="R59" s="5"/>
      <c r="S59" s="3"/>
      <c r="T59" s="3"/>
      <c r="U59" s="3"/>
      <c r="V59" s="3"/>
      <c r="W59" s="3"/>
      <c r="X59" s="3"/>
      <c r="Y59" s="3"/>
      <c r="Z59" s="3"/>
    </row>
    <row r="60" ht="12.75" customHeight="1">
      <c r="A60" s="3"/>
      <c r="B60" s="3"/>
      <c r="C60" s="3"/>
      <c r="D60" s="3"/>
      <c r="E60" s="3"/>
      <c r="F60" s="3"/>
      <c r="G60" s="3"/>
      <c r="H60" s="3"/>
      <c r="I60" s="3"/>
      <c r="J60" s="3"/>
      <c r="K60" s="3"/>
      <c r="L60" s="3"/>
      <c r="M60" s="3"/>
      <c r="N60" s="3"/>
      <c r="O60" s="3"/>
      <c r="P60" s="3"/>
      <c r="Q60" s="3"/>
      <c r="R60" s="5"/>
      <c r="S60" s="3"/>
      <c r="T60" s="3"/>
      <c r="U60" s="3"/>
      <c r="V60" s="3"/>
      <c r="W60" s="3"/>
      <c r="X60" s="3"/>
      <c r="Y60" s="3"/>
      <c r="Z60" s="3"/>
    </row>
    <row r="61" ht="12.75" customHeight="1">
      <c r="A61" s="3"/>
      <c r="B61" s="3"/>
      <c r="C61" s="3"/>
      <c r="D61" s="3"/>
      <c r="E61" s="3"/>
      <c r="F61" s="3"/>
      <c r="G61" s="3"/>
      <c r="H61" s="3"/>
      <c r="I61" s="3"/>
      <c r="J61" s="3"/>
      <c r="K61" s="3"/>
      <c r="L61" s="3"/>
      <c r="M61" s="3"/>
      <c r="N61" s="3"/>
      <c r="O61" s="3"/>
      <c r="P61" s="3"/>
      <c r="Q61" s="3"/>
      <c r="R61" s="5"/>
      <c r="S61" s="3"/>
      <c r="T61" s="3"/>
      <c r="U61" s="3"/>
      <c r="V61" s="3"/>
      <c r="W61" s="3"/>
      <c r="X61" s="3"/>
      <c r="Y61" s="3"/>
      <c r="Z61" s="3"/>
    </row>
    <row r="62" ht="12.75" customHeight="1">
      <c r="A62" s="3"/>
      <c r="B62" s="3"/>
      <c r="C62" s="3"/>
      <c r="D62" s="3"/>
      <c r="E62" s="3"/>
      <c r="F62" s="3"/>
      <c r="G62" s="3"/>
      <c r="H62" s="3"/>
      <c r="I62" s="3"/>
      <c r="J62" s="3"/>
      <c r="K62" s="3"/>
      <c r="L62" s="3"/>
      <c r="M62" s="3"/>
      <c r="N62" s="3"/>
      <c r="O62" s="3"/>
      <c r="P62" s="3"/>
      <c r="Q62" s="3"/>
      <c r="R62" s="5"/>
      <c r="S62" s="3"/>
      <c r="T62" s="3"/>
      <c r="U62" s="3"/>
      <c r="V62" s="3"/>
      <c r="W62" s="3"/>
      <c r="X62" s="3"/>
      <c r="Y62" s="3"/>
      <c r="Z62" s="3"/>
    </row>
    <row r="63" ht="12.75" customHeight="1">
      <c r="A63" s="3"/>
      <c r="B63" s="3"/>
      <c r="C63" s="3"/>
      <c r="D63" s="3"/>
      <c r="E63" s="3"/>
      <c r="F63" s="3"/>
      <c r="G63" s="3"/>
      <c r="H63" s="3"/>
      <c r="I63" s="3"/>
      <c r="J63" s="3"/>
      <c r="K63" s="3"/>
      <c r="L63" s="3"/>
      <c r="M63" s="3"/>
      <c r="N63" s="3"/>
      <c r="O63" s="3"/>
      <c r="P63" s="3"/>
      <c r="Q63" s="3"/>
      <c r="R63" s="5"/>
      <c r="S63" s="3"/>
      <c r="T63" s="3"/>
      <c r="U63" s="3"/>
      <c r="V63" s="3"/>
      <c r="W63" s="3"/>
      <c r="X63" s="3"/>
      <c r="Y63" s="3"/>
      <c r="Z63" s="3"/>
    </row>
    <row r="64" ht="12.75" customHeight="1">
      <c r="A64" s="3"/>
      <c r="B64" s="3"/>
      <c r="C64" s="3"/>
      <c r="D64" s="3"/>
      <c r="E64" s="3"/>
      <c r="F64" s="3"/>
      <c r="G64" s="3"/>
      <c r="H64" s="3"/>
      <c r="I64" s="3"/>
      <c r="J64" s="3"/>
      <c r="K64" s="3"/>
      <c r="L64" s="3"/>
      <c r="M64" s="3"/>
      <c r="N64" s="3"/>
      <c r="O64" s="3"/>
      <c r="P64" s="3"/>
      <c r="Q64" s="3"/>
      <c r="R64" s="5"/>
      <c r="S64" s="3"/>
      <c r="T64" s="3"/>
      <c r="U64" s="3"/>
      <c r="V64" s="3"/>
      <c r="W64" s="3"/>
      <c r="X64" s="3"/>
      <c r="Y64" s="3"/>
      <c r="Z64" s="3"/>
    </row>
    <row r="65" ht="12.75" customHeight="1">
      <c r="A65" s="3"/>
      <c r="B65" s="3"/>
      <c r="C65" s="3"/>
      <c r="D65" s="3"/>
      <c r="E65" s="3"/>
      <c r="F65" s="3"/>
      <c r="G65" s="3"/>
      <c r="H65" s="3"/>
      <c r="I65" s="3"/>
      <c r="J65" s="3"/>
      <c r="K65" s="3"/>
      <c r="L65" s="3"/>
      <c r="M65" s="3"/>
      <c r="N65" s="3"/>
      <c r="O65" s="3"/>
      <c r="P65" s="3"/>
      <c r="Q65" s="3"/>
      <c r="R65" s="5"/>
      <c r="S65" s="3"/>
      <c r="T65" s="3"/>
      <c r="U65" s="3"/>
      <c r="V65" s="3"/>
      <c r="W65" s="3"/>
      <c r="X65" s="3"/>
      <c r="Y65" s="3"/>
      <c r="Z65" s="3"/>
    </row>
    <row r="66" ht="12.75" customHeight="1">
      <c r="A66" s="3"/>
      <c r="B66" s="3"/>
      <c r="C66" s="3"/>
      <c r="D66" s="3"/>
      <c r="E66" s="3"/>
      <c r="F66" s="3"/>
      <c r="G66" s="3"/>
      <c r="H66" s="3"/>
      <c r="I66" s="3"/>
      <c r="J66" s="3"/>
      <c r="K66" s="3"/>
      <c r="L66" s="3"/>
      <c r="M66" s="3"/>
      <c r="N66" s="3"/>
      <c r="O66" s="3"/>
      <c r="P66" s="3"/>
      <c r="Q66" s="3"/>
      <c r="R66" s="5"/>
      <c r="S66" s="3"/>
      <c r="T66" s="3"/>
      <c r="U66" s="3"/>
      <c r="V66" s="3"/>
      <c r="W66" s="3"/>
      <c r="X66" s="3"/>
      <c r="Y66" s="3"/>
      <c r="Z66" s="3"/>
    </row>
    <row r="67" ht="12.75" customHeight="1">
      <c r="A67" s="3"/>
      <c r="B67" s="3"/>
      <c r="C67" s="3"/>
      <c r="D67" s="3"/>
      <c r="E67" s="3"/>
      <c r="F67" s="3"/>
      <c r="G67" s="3"/>
      <c r="H67" s="3"/>
      <c r="I67" s="3"/>
      <c r="J67" s="3"/>
      <c r="K67" s="3"/>
      <c r="L67" s="3"/>
      <c r="M67" s="3"/>
      <c r="N67" s="3"/>
      <c r="O67" s="3"/>
      <c r="P67" s="3"/>
      <c r="Q67" s="3"/>
      <c r="R67" s="5"/>
      <c r="S67" s="3"/>
      <c r="T67" s="3"/>
      <c r="U67" s="3"/>
      <c r="V67" s="3"/>
      <c r="W67" s="3"/>
      <c r="X67" s="3"/>
      <c r="Y67" s="3"/>
      <c r="Z67" s="3"/>
    </row>
    <row r="68" ht="12.75" customHeight="1">
      <c r="A68" s="3"/>
      <c r="B68" s="3"/>
      <c r="C68" s="3"/>
      <c r="D68" s="3"/>
      <c r="E68" s="3"/>
      <c r="F68" s="3"/>
      <c r="G68" s="3"/>
      <c r="H68" s="3"/>
      <c r="I68" s="3"/>
      <c r="J68" s="3"/>
      <c r="K68" s="3"/>
      <c r="L68" s="3"/>
      <c r="M68" s="3"/>
      <c r="N68" s="3"/>
      <c r="O68" s="3"/>
      <c r="P68" s="3"/>
      <c r="Q68" s="3"/>
      <c r="R68" s="5"/>
      <c r="S68" s="3"/>
      <c r="T68" s="3"/>
      <c r="U68" s="3"/>
      <c r="V68" s="3"/>
      <c r="W68" s="3"/>
      <c r="X68" s="3"/>
      <c r="Y68" s="3"/>
      <c r="Z68" s="3"/>
    </row>
    <row r="69" ht="12.75" customHeight="1">
      <c r="A69" s="3"/>
      <c r="B69" s="3"/>
      <c r="C69" s="3"/>
      <c r="D69" s="3"/>
      <c r="E69" s="3"/>
      <c r="F69" s="3"/>
      <c r="G69" s="3"/>
      <c r="H69" s="3"/>
      <c r="I69" s="3"/>
      <c r="J69" s="3"/>
      <c r="K69" s="3"/>
      <c r="L69" s="3"/>
      <c r="M69" s="3"/>
      <c r="N69" s="3"/>
      <c r="O69" s="3"/>
      <c r="P69" s="3"/>
      <c r="Q69" s="3"/>
      <c r="R69" s="5"/>
      <c r="S69" s="3"/>
      <c r="T69" s="3"/>
      <c r="U69" s="3"/>
      <c r="V69" s="3"/>
      <c r="W69" s="3"/>
      <c r="X69" s="3"/>
      <c r="Y69" s="3"/>
      <c r="Z69" s="3"/>
    </row>
    <row r="70" ht="12.75" customHeight="1">
      <c r="A70" s="3"/>
      <c r="B70" s="3"/>
      <c r="C70" s="3"/>
      <c r="D70" s="3"/>
      <c r="E70" s="3"/>
      <c r="F70" s="3"/>
      <c r="G70" s="3"/>
      <c r="H70" s="3"/>
      <c r="I70" s="3"/>
      <c r="J70" s="3"/>
      <c r="K70" s="3"/>
      <c r="L70" s="3"/>
      <c r="M70" s="3"/>
      <c r="N70" s="3"/>
      <c r="O70" s="3"/>
      <c r="P70" s="3"/>
      <c r="Q70" s="3"/>
      <c r="R70" s="5"/>
      <c r="S70" s="3"/>
      <c r="T70" s="3"/>
      <c r="U70" s="3"/>
      <c r="V70" s="3"/>
      <c r="W70" s="3"/>
      <c r="X70" s="3"/>
      <c r="Y70" s="3"/>
      <c r="Z70" s="3"/>
    </row>
    <row r="71" ht="12.75" customHeight="1">
      <c r="A71" s="3"/>
      <c r="B71" s="3"/>
      <c r="C71" s="3"/>
      <c r="D71" s="3"/>
      <c r="E71" s="3"/>
      <c r="F71" s="3"/>
      <c r="G71" s="3"/>
      <c r="H71" s="3"/>
      <c r="I71" s="3"/>
      <c r="J71" s="3"/>
      <c r="K71" s="3"/>
      <c r="L71" s="3"/>
      <c r="M71" s="3"/>
      <c r="N71" s="3"/>
      <c r="O71" s="3"/>
      <c r="P71" s="3"/>
      <c r="Q71" s="3"/>
      <c r="R71" s="5"/>
      <c r="S71" s="3"/>
      <c r="T71" s="3"/>
      <c r="U71" s="3"/>
      <c r="V71" s="3"/>
      <c r="W71" s="3"/>
      <c r="X71" s="3"/>
      <c r="Y71" s="3"/>
      <c r="Z71" s="3"/>
    </row>
    <row r="72" ht="12.75" customHeight="1">
      <c r="A72" s="3"/>
      <c r="B72" s="3"/>
      <c r="C72" s="3"/>
      <c r="D72" s="3"/>
      <c r="E72" s="3"/>
      <c r="F72" s="3"/>
      <c r="G72" s="3"/>
      <c r="H72" s="3"/>
      <c r="I72" s="3"/>
      <c r="J72" s="3"/>
      <c r="K72" s="3"/>
      <c r="L72" s="3"/>
      <c r="M72" s="3"/>
      <c r="N72" s="3"/>
      <c r="O72" s="3"/>
      <c r="P72" s="3"/>
      <c r="Q72" s="3"/>
      <c r="R72" s="5"/>
      <c r="S72" s="3"/>
      <c r="T72" s="3"/>
      <c r="U72" s="3"/>
      <c r="V72" s="3"/>
      <c r="W72" s="3"/>
      <c r="X72" s="3"/>
      <c r="Y72" s="3"/>
      <c r="Z72" s="3"/>
    </row>
    <row r="73" ht="12.75" customHeight="1">
      <c r="A73" s="3"/>
      <c r="B73" s="3"/>
      <c r="C73" s="3"/>
      <c r="D73" s="3"/>
      <c r="E73" s="3"/>
      <c r="F73" s="3"/>
      <c r="G73" s="3"/>
      <c r="H73" s="3"/>
      <c r="I73" s="3"/>
      <c r="J73" s="3"/>
      <c r="K73" s="3"/>
      <c r="L73" s="3"/>
      <c r="M73" s="3"/>
      <c r="N73" s="3"/>
      <c r="O73" s="3"/>
      <c r="P73" s="3"/>
      <c r="Q73" s="3"/>
      <c r="R73" s="5"/>
      <c r="S73" s="3"/>
      <c r="T73" s="3"/>
      <c r="U73" s="3"/>
      <c r="V73" s="3"/>
      <c r="W73" s="3"/>
      <c r="X73" s="3"/>
      <c r="Y73" s="3"/>
      <c r="Z73" s="3"/>
    </row>
    <row r="74" ht="12.75" customHeight="1">
      <c r="A74" s="3"/>
      <c r="B74" s="3"/>
      <c r="C74" s="3"/>
      <c r="D74" s="3"/>
      <c r="E74" s="3"/>
      <c r="F74" s="3"/>
      <c r="G74" s="3"/>
      <c r="H74" s="3"/>
      <c r="I74" s="3"/>
      <c r="J74" s="3"/>
      <c r="K74" s="3"/>
      <c r="L74" s="3"/>
      <c r="M74" s="3"/>
      <c r="N74" s="3"/>
      <c r="O74" s="3"/>
      <c r="P74" s="3"/>
      <c r="Q74" s="3"/>
      <c r="R74" s="5"/>
      <c r="S74" s="3"/>
      <c r="T74" s="3"/>
      <c r="U74" s="3"/>
      <c r="V74" s="3"/>
      <c r="W74" s="3"/>
      <c r="X74" s="3"/>
      <c r="Y74" s="3"/>
      <c r="Z74" s="3"/>
    </row>
    <row r="75" ht="12.75" customHeight="1">
      <c r="A75" s="3"/>
      <c r="B75" s="3"/>
      <c r="C75" s="3"/>
      <c r="D75" s="3"/>
      <c r="E75" s="3"/>
      <c r="F75" s="3"/>
      <c r="G75" s="3"/>
      <c r="H75" s="3"/>
      <c r="I75" s="3"/>
      <c r="J75" s="3"/>
      <c r="K75" s="3"/>
      <c r="L75" s="3"/>
      <c r="M75" s="3"/>
      <c r="N75" s="3"/>
      <c r="O75" s="3"/>
      <c r="P75" s="3"/>
      <c r="Q75" s="3"/>
      <c r="R75" s="5"/>
      <c r="S75" s="3"/>
      <c r="T75" s="3"/>
      <c r="U75" s="3"/>
      <c r="V75" s="3"/>
      <c r="W75" s="3"/>
      <c r="X75" s="3"/>
      <c r="Y75" s="3"/>
      <c r="Z75" s="3"/>
    </row>
    <row r="76" ht="12.75" customHeight="1">
      <c r="A76" s="3"/>
      <c r="B76" s="3"/>
      <c r="C76" s="3"/>
      <c r="D76" s="3"/>
      <c r="E76" s="3"/>
      <c r="F76" s="3"/>
      <c r="G76" s="3"/>
      <c r="H76" s="3"/>
      <c r="I76" s="3"/>
      <c r="J76" s="3"/>
      <c r="K76" s="3"/>
      <c r="L76" s="3"/>
      <c r="M76" s="3"/>
      <c r="N76" s="3"/>
      <c r="O76" s="3"/>
      <c r="P76" s="3"/>
      <c r="Q76" s="3"/>
      <c r="R76" s="5"/>
      <c r="S76" s="3"/>
      <c r="T76" s="3"/>
      <c r="U76" s="3"/>
      <c r="V76" s="3"/>
      <c r="W76" s="3"/>
      <c r="X76" s="3"/>
      <c r="Y76" s="3"/>
      <c r="Z76" s="3"/>
    </row>
    <row r="77" ht="12.75" customHeight="1">
      <c r="A77" s="3"/>
      <c r="B77" s="3"/>
      <c r="C77" s="3"/>
      <c r="D77" s="3"/>
      <c r="E77" s="3"/>
      <c r="F77" s="3"/>
      <c r="G77" s="3"/>
      <c r="H77" s="3"/>
      <c r="I77" s="3"/>
      <c r="J77" s="3"/>
      <c r="K77" s="3"/>
      <c r="L77" s="3"/>
      <c r="M77" s="3"/>
      <c r="N77" s="3"/>
      <c r="O77" s="3"/>
      <c r="P77" s="3"/>
      <c r="Q77" s="3"/>
      <c r="R77" s="5"/>
      <c r="S77" s="3"/>
      <c r="T77" s="3"/>
      <c r="U77" s="3"/>
      <c r="V77" s="3"/>
      <c r="W77" s="3"/>
      <c r="X77" s="3"/>
      <c r="Y77" s="3"/>
      <c r="Z77" s="3"/>
    </row>
    <row r="78" ht="12.75" customHeight="1">
      <c r="A78" s="3"/>
      <c r="B78" s="3"/>
      <c r="C78" s="3"/>
      <c r="D78" s="3"/>
      <c r="E78" s="3"/>
      <c r="F78" s="3"/>
      <c r="G78" s="3"/>
      <c r="H78" s="3"/>
      <c r="I78" s="3"/>
      <c r="J78" s="3"/>
      <c r="K78" s="3"/>
      <c r="L78" s="3"/>
      <c r="M78" s="3"/>
      <c r="N78" s="3"/>
      <c r="O78" s="3"/>
      <c r="P78" s="3"/>
      <c r="Q78" s="3"/>
      <c r="R78" s="5"/>
      <c r="S78" s="3"/>
      <c r="T78" s="3"/>
      <c r="U78" s="3"/>
      <c r="V78" s="3"/>
      <c r="W78" s="3"/>
      <c r="X78" s="3"/>
      <c r="Y78" s="3"/>
      <c r="Z78" s="3"/>
    </row>
    <row r="79" ht="12.75" customHeight="1">
      <c r="A79" s="3"/>
      <c r="B79" s="3"/>
      <c r="C79" s="3"/>
      <c r="D79" s="3"/>
      <c r="E79" s="3"/>
      <c r="F79" s="3"/>
      <c r="G79" s="3"/>
      <c r="H79" s="3"/>
      <c r="I79" s="3"/>
      <c r="J79" s="3"/>
      <c r="K79" s="3"/>
      <c r="L79" s="3"/>
      <c r="M79" s="3"/>
      <c r="N79" s="3"/>
      <c r="O79" s="3"/>
      <c r="P79" s="3"/>
      <c r="Q79" s="3"/>
      <c r="R79" s="5"/>
      <c r="S79" s="3"/>
      <c r="T79" s="3"/>
      <c r="U79" s="3"/>
      <c r="V79" s="3"/>
      <c r="W79" s="3"/>
      <c r="X79" s="3"/>
      <c r="Y79" s="3"/>
      <c r="Z79" s="3"/>
    </row>
    <row r="80" ht="12.75" customHeight="1">
      <c r="A80" s="3"/>
      <c r="B80" s="3"/>
      <c r="C80" s="3"/>
      <c r="D80" s="3"/>
      <c r="E80" s="3"/>
      <c r="F80" s="3"/>
      <c r="G80" s="3"/>
      <c r="H80" s="3"/>
      <c r="I80" s="3"/>
      <c r="J80" s="3"/>
      <c r="K80" s="3"/>
      <c r="L80" s="3"/>
      <c r="M80" s="3"/>
      <c r="N80" s="3"/>
      <c r="O80" s="3"/>
      <c r="P80" s="3"/>
      <c r="Q80" s="3"/>
      <c r="R80" s="5"/>
      <c r="S80" s="3"/>
      <c r="T80" s="3"/>
      <c r="U80" s="3"/>
      <c r="V80" s="3"/>
      <c r="W80" s="3"/>
      <c r="X80" s="3"/>
      <c r="Y80" s="3"/>
      <c r="Z80" s="3"/>
    </row>
    <row r="81" ht="12.75" customHeight="1">
      <c r="A81" s="3"/>
      <c r="B81" s="3"/>
      <c r="C81" s="3"/>
      <c r="D81" s="3"/>
      <c r="E81" s="3"/>
      <c r="F81" s="3"/>
      <c r="G81" s="3"/>
      <c r="H81" s="3"/>
      <c r="I81" s="3"/>
      <c r="J81" s="3"/>
      <c r="K81" s="3"/>
      <c r="L81" s="3"/>
      <c r="M81" s="3"/>
      <c r="N81" s="3"/>
      <c r="O81" s="3"/>
      <c r="P81" s="3"/>
      <c r="Q81" s="3"/>
      <c r="R81" s="5"/>
      <c r="S81" s="3"/>
      <c r="T81" s="3"/>
      <c r="U81" s="3"/>
      <c r="V81" s="3"/>
      <c r="W81" s="3"/>
      <c r="X81" s="3"/>
      <c r="Y81" s="3"/>
      <c r="Z81" s="3"/>
    </row>
    <row r="82" ht="12.75" customHeight="1">
      <c r="A82" s="3"/>
      <c r="B82" s="3"/>
      <c r="C82" s="3"/>
      <c r="D82" s="3"/>
      <c r="E82" s="3"/>
      <c r="F82" s="3"/>
      <c r="G82" s="3"/>
      <c r="H82" s="3"/>
      <c r="I82" s="3"/>
      <c r="J82" s="3"/>
      <c r="K82" s="3"/>
      <c r="L82" s="3"/>
      <c r="M82" s="3"/>
      <c r="N82" s="3"/>
      <c r="O82" s="3"/>
      <c r="P82" s="3"/>
      <c r="Q82" s="3"/>
      <c r="R82" s="5"/>
      <c r="S82" s="3"/>
      <c r="T82" s="3"/>
      <c r="U82" s="3"/>
      <c r="V82" s="3"/>
      <c r="W82" s="3"/>
      <c r="X82" s="3"/>
      <c r="Y82" s="3"/>
      <c r="Z82" s="3"/>
    </row>
    <row r="83" ht="12.75" customHeight="1">
      <c r="A83" s="3"/>
      <c r="B83" s="3"/>
      <c r="C83" s="3"/>
      <c r="D83" s="3"/>
      <c r="E83" s="3"/>
      <c r="F83" s="3"/>
      <c r="G83" s="3"/>
      <c r="H83" s="3"/>
      <c r="I83" s="3"/>
      <c r="J83" s="3"/>
      <c r="K83" s="3"/>
      <c r="L83" s="3"/>
      <c r="M83" s="3"/>
      <c r="N83" s="3"/>
      <c r="O83" s="3"/>
      <c r="P83" s="3"/>
      <c r="Q83" s="3"/>
      <c r="R83" s="5"/>
      <c r="S83" s="3"/>
      <c r="T83" s="3"/>
      <c r="U83" s="3"/>
      <c r="V83" s="3"/>
      <c r="W83" s="3"/>
      <c r="X83" s="3"/>
      <c r="Y83" s="3"/>
      <c r="Z83" s="3"/>
    </row>
    <row r="84" ht="12.75" customHeight="1">
      <c r="A84" s="3"/>
      <c r="B84" s="3"/>
      <c r="C84" s="3"/>
      <c r="D84" s="3"/>
      <c r="E84" s="3"/>
      <c r="F84" s="3"/>
      <c r="G84" s="3"/>
      <c r="H84" s="3"/>
      <c r="I84" s="3"/>
      <c r="J84" s="3"/>
      <c r="K84" s="3"/>
      <c r="L84" s="3"/>
      <c r="M84" s="3"/>
      <c r="N84" s="3"/>
      <c r="O84" s="3"/>
      <c r="P84" s="3"/>
      <c r="Q84" s="3"/>
      <c r="R84" s="5"/>
      <c r="S84" s="3"/>
      <c r="T84" s="3"/>
      <c r="U84" s="3"/>
      <c r="V84" s="3"/>
      <c r="W84" s="3"/>
      <c r="X84" s="3"/>
      <c r="Y84" s="3"/>
      <c r="Z84" s="3"/>
    </row>
    <row r="85" ht="12.75" customHeight="1">
      <c r="A85" s="3"/>
      <c r="B85" s="3"/>
      <c r="C85" s="3"/>
      <c r="D85" s="3"/>
      <c r="E85" s="3"/>
      <c r="F85" s="3"/>
      <c r="G85" s="3"/>
      <c r="H85" s="3"/>
      <c r="I85" s="3"/>
      <c r="J85" s="3"/>
      <c r="K85" s="3"/>
      <c r="L85" s="3"/>
      <c r="M85" s="3"/>
      <c r="N85" s="3"/>
      <c r="O85" s="3"/>
      <c r="P85" s="3"/>
      <c r="Q85" s="3"/>
      <c r="R85" s="5"/>
      <c r="S85" s="3"/>
      <c r="T85" s="3"/>
      <c r="U85" s="3"/>
      <c r="V85" s="3"/>
      <c r="W85" s="3"/>
      <c r="X85" s="3"/>
      <c r="Y85" s="3"/>
      <c r="Z85" s="3"/>
    </row>
    <row r="86" ht="12.75" customHeight="1">
      <c r="A86" s="3"/>
      <c r="B86" s="3"/>
      <c r="C86" s="3"/>
      <c r="D86" s="3"/>
      <c r="E86" s="3"/>
      <c r="F86" s="3"/>
      <c r="G86" s="3"/>
      <c r="H86" s="3"/>
      <c r="I86" s="3"/>
      <c r="J86" s="3"/>
      <c r="K86" s="3"/>
      <c r="L86" s="3"/>
      <c r="M86" s="3"/>
      <c r="N86" s="3"/>
      <c r="O86" s="3"/>
      <c r="P86" s="3"/>
      <c r="Q86" s="3"/>
      <c r="R86" s="5"/>
      <c r="S86" s="3"/>
      <c r="T86" s="3"/>
      <c r="U86" s="3"/>
      <c r="V86" s="3"/>
      <c r="W86" s="3"/>
      <c r="X86" s="3"/>
      <c r="Y86" s="3"/>
      <c r="Z86" s="3"/>
    </row>
    <row r="87" ht="12.75" customHeight="1">
      <c r="A87" s="3"/>
      <c r="B87" s="3"/>
      <c r="C87" s="3"/>
      <c r="D87" s="3"/>
      <c r="E87" s="3"/>
      <c r="F87" s="3"/>
      <c r="G87" s="3"/>
      <c r="H87" s="3"/>
      <c r="I87" s="3"/>
      <c r="J87" s="3"/>
      <c r="K87" s="3"/>
      <c r="L87" s="3"/>
      <c r="M87" s="3"/>
      <c r="N87" s="3"/>
      <c r="O87" s="3"/>
      <c r="P87" s="3"/>
      <c r="Q87" s="3"/>
      <c r="R87" s="5"/>
      <c r="S87" s="3"/>
      <c r="T87" s="3"/>
      <c r="U87" s="3"/>
      <c r="V87" s="3"/>
      <c r="W87" s="3"/>
      <c r="X87" s="3"/>
      <c r="Y87" s="3"/>
      <c r="Z87" s="3"/>
    </row>
    <row r="88" ht="12.75" customHeight="1">
      <c r="A88" s="3"/>
      <c r="B88" s="3"/>
      <c r="C88" s="3"/>
      <c r="D88" s="3"/>
      <c r="E88" s="3"/>
      <c r="F88" s="3"/>
      <c r="G88" s="3"/>
      <c r="H88" s="3"/>
      <c r="I88" s="3"/>
      <c r="J88" s="3"/>
      <c r="K88" s="3"/>
      <c r="L88" s="3"/>
      <c r="M88" s="3"/>
      <c r="N88" s="3"/>
      <c r="O88" s="3"/>
      <c r="P88" s="3"/>
      <c r="Q88" s="3"/>
      <c r="R88" s="5"/>
      <c r="S88" s="3"/>
      <c r="T88" s="3"/>
      <c r="U88" s="3"/>
      <c r="V88" s="3"/>
      <c r="W88" s="3"/>
      <c r="X88" s="3"/>
      <c r="Y88" s="3"/>
      <c r="Z88" s="3"/>
    </row>
    <row r="89" ht="12.75" customHeight="1">
      <c r="A89" s="3"/>
      <c r="B89" s="3"/>
      <c r="C89" s="3"/>
      <c r="D89" s="3"/>
      <c r="E89" s="3"/>
      <c r="F89" s="3"/>
      <c r="G89" s="3"/>
      <c r="H89" s="3"/>
      <c r="I89" s="3"/>
      <c r="J89" s="3"/>
      <c r="K89" s="3"/>
      <c r="L89" s="3"/>
      <c r="M89" s="3"/>
      <c r="N89" s="3"/>
      <c r="O89" s="3"/>
      <c r="P89" s="3"/>
      <c r="Q89" s="3"/>
      <c r="R89" s="5"/>
      <c r="S89" s="3"/>
      <c r="T89" s="3"/>
      <c r="U89" s="3"/>
      <c r="V89" s="3"/>
      <c r="W89" s="3"/>
      <c r="X89" s="3"/>
      <c r="Y89" s="3"/>
      <c r="Z89" s="3"/>
    </row>
    <row r="90" ht="12.75" customHeight="1">
      <c r="A90" s="3"/>
      <c r="B90" s="3"/>
      <c r="C90" s="3"/>
      <c r="D90" s="3"/>
      <c r="E90" s="3"/>
      <c r="F90" s="3"/>
      <c r="G90" s="3"/>
      <c r="H90" s="3"/>
      <c r="I90" s="3"/>
      <c r="J90" s="3"/>
      <c r="K90" s="3"/>
      <c r="L90" s="3"/>
      <c r="M90" s="3"/>
      <c r="N90" s="3"/>
      <c r="O90" s="3"/>
      <c r="P90" s="3"/>
      <c r="Q90" s="3"/>
      <c r="R90" s="5"/>
      <c r="S90" s="3"/>
      <c r="T90" s="3"/>
      <c r="U90" s="3"/>
      <c r="V90" s="3"/>
      <c r="W90" s="3"/>
      <c r="X90" s="3"/>
      <c r="Y90" s="3"/>
      <c r="Z90" s="3"/>
    </row>
    <row r="91" ht="12.75" customHeight="1">
      <c r="A91" s="3"/>
      <c r="B91" s="3"/>
      <c r="C91" s="3"/>
      <c r="D91" s="3"/>
      <c r="E91" s="3"/>
      <c r="F91" s="3"/>
      <c r="G91" s="3"/>
      <c r="H91" s="3"/>
      <c r="I91" s="3"/>
      <c r="J91" s="3"/>
      <c r="K91" s="3"/>
      <c r="L91" s="3"/>
      <c r="M91" s="3"/>
      <c r="N91" s="3"/>
      <c r="O91" s="3"/>
      <c r="P91" s="3"/>
      <c r="Q91" s="3"/>
      <c r="R91" s="5"/>
      <c r="S91" s="3"/>
      <c r="T91" s="3"/>
      <c r="U91" s="3"/>
      <c r="V91" s="3"/>
      <c r="W91" s="3"/>
      <c r="X91" s="3"/>
      <c r="Y91" s="3"/>
      <c r="Z91" s="3"/>
    </row>
    <row r="92" ht="12.75" customHeight="1">
      <c r="A92" s="3"/>
      <c r="B92" s="3"/>
      <c r="C92" s="3"/>
      <c r="D92" s="3"/>
      <c r="E92" s="3"/>
      <c r="F92" s="3"/>
      <c r="G92" s="3"/>
      <c r="H92" s="3"/>
      <c r="I92" s="3"/>
      <c r="J92" s="3"/>
      <c r="K92" s="3"/>
      <c r="L92" s="3"/>
      <c r="M92" s="3"/>
      <c r="N92" s="3"/>
      <c r="O92" s="3"/>
      <c r="P92" s="3"/>
      <c r="Q92" s="3"/>
      <c r="R92" s="5"/>
      <c r="S92" s="3"/>
      <c r="T92" s="3"/>
      <c r="U92" s="3"/>
      <c r="V92" s="3"/>
      <c r="W92" s="3"/>
      <c r="X92" s="3"/>
      <c r="Y92" s="3"/>
      <c r="Z92" s="3"/>
    </row>
    <row r="93" ht="12.75" customHeight="1">
      <c r="A93" s="3"/>
      <c r="B93" s="3"/>
      <c r="C93" s="3"/>
      <c r="D93" s="3"/>
      <c r="E93" s="3"/>
      <c r="F93" s="3"/>
      <c r="G93" s="3"/>
      <c r="H93" s="3"/>
      <c r="I93" s="3"/>
      <c r="J93" s="3"/>
      <c r="K93" s="3"/>
      <c r="L93" s="3"/>
      <c r="M93" s="3"/>
      <c r="N93" s="3"/>
      <c r="O93" s="3"/>
      <c r="P93" s="3"/>
      <c r="Q93" s="3"/>
      <c r="R93" s="5"/>
      <c r="S93" s="3"/>
      <c r="T93" s="3"/>
      <c r="U93" s="3"/>
      <c r="V93" s="3"/>
      <c r="W93" s="3"/>
      <c r="X93" s="3"/>
      <c r="Y93" s="3"/>
      <c r="Z93" s="3"/>
    </row>
    <row r="94" ht="12.75" customHeight="1">
      <c r="A94" s="3"/>
      <c r="B94" s="3"/>
      <c r="C94" s="3"/>
      <c r="D94" s="3"/>
      <c r="E94" s="3"/>
      <c r="F94" s="3"/>
      <c r="G94" s="3"/>
      <c r="H94" s="3"/>
      <c r="I94" s="3"/>
      <c r="J94" s="3"/>
      <c r="K94" s="3"/>
      <c r="L94" s="3"/>
      <c r="M94" s="3"/>
      <c r="N94" s="3"/>
      <c r="O94" s="3"/>
      <c r="P94" s="3"/>
      <c r="Q94" s="3"/>
      <c r="R94" s="5"/>
      <c r="S94" s="3"/>
      <c r="T94" s="3"/>
      <c r="U94" s="3"/>
      <c r="V94" s="3"/>
      <c r="W94" s="3"/>
      <c r="X94" s="3"/>
      <c r="Y94" s="3"/>
      <c r="Z94" s="3"/>
    </row>
    <row r="95" ht="12.75" customHeight="1">
      <c r="A95" s="3"/>
      <c r="B95" s="3"/>
      <c r="C95" s="3"/>
      <c r="D95" s="3"/>
      <c r="E95" s="3"/>
      <c r="F95" s="3"/>
      <c r="G95" s="3"/>
      <c r="H95" s="3"/>
      <c r="I95" s="3"/>
      <c r="J95" s="3"/>
      <c r="K95" s="3"/>
      <c r="L95" s="3"/>
      <c r="M95" s="3"/>
      <c r="N95" s="3"/>
      <c r="O95" s="3"/>
      <c r="P95" s="3"/>
      <c r="Q95" s="3"/>
      <c r="R95" s="5"/>
      <c r="S95" s="3"/>
      <c r="T95" s="3"/>
      <c r="U95" s="3"/>
      <c r="V95" s="3"/>
      <c r="W95" s="3"/>
      <c r="X95" s="3"/>
      <c r="Y95" s="3"/>
      <c r="Z95" s="3"/>
    </row>
    <row r="96" ht="12.75" customHeight="1">
      <c r="A96" s="3"/>
      <c r="B96" s="3"/>
      <c r="C96" s="3"/>
      <c r="D96" s="3"/>
      <c r="E96" s="3"/>
      <c r="F96" s="3"/>
      <c r="G96" s="3"/>
      <c r="H96" s="3"/>
      <c r="I96" s="3"/>
      <c r="J96" s="3"/>
      <c r="K96" s="3"/>
      <c r="L96" s="3"/>
      <c r="M96" s="3"/>
      <c r="N96" s="3"/>
      <c r="O96" s="3"/>
      <c r="P96" s="3"/>
      <c r="Q96" s="3"/>
      <c r="R96" s="5"/>
      <c r="S96" s="3"/>
      <c r="T96" s="3"/>
      <c r="U96" s="3"/>
      <c r="V96" s="3"/>
      <c r="W96" s="3"/>
      <c r="X96" s="3"/>
      <c r="Y96" s="3"/>
      <c r="Z96" s="3"/>
    </row>
    <row r="97" ht="12.75" customHeight="1">
      <c r="A97" s="3"/>
      <c r="B97" s="3"/>
      <c r="C97" s="3"/>
      <c r="D97" s="3"/>
      <c r="E97" s="3"/>
      <c r="F97" s="3"/>
      <c r="G97" s="3"/>
      <c r="H97" s="3"/>
      <c r="I97" s="3"/>
      <c r="J97" s="3"/>
      <c r="K97" s="3"/>
      <c r="L97" s="3"/>
      <c r="M97" s="3"/>
      <c r="N97" s="3"/>
      <c r="O97" s="3"/>
      <c r="P97" s="3"/>
      <c r="Q97" s="3"/>
      <c r="R97" s="5"/>
      <c r="S97" s="3"/>
      <c r="T97" s="3"/>
      <c r="U97" s="3"/>
      <c r="V97" s="3"/>
      <c r="W97" s="3"/>
      <c r="X97" s="3"/>
      <c r="Y97" s="3"/>
      <c r="Z97" s="3"/>
    </row>
    <row r="98" ht="12.75" customHeight="1">
      <c r="A98" s="3"/>
      <c r="B98" s="3"/>
      <c r="C98" s="3"/>
      <c r="D98" s="3"/>
      <c r="E98" s="3"/>
      <c r="F98" s="3"/>
      <c r="G98" s="3"/>
      <c r="H98" s="3"/>
      <c r="I98" s="3"/>
      <c r="J98" s="3"/>
      <c r="K98" s="3"/>
      <c r="L98" s="3"/>
      <c r="M98" s="3"/>
      <c r="N98" s="3"/>
      <c r="O98" s="3"/>
      <c r="P98" s="3"/>
      <c r="Q98" s="3"/>
      <c r="R98" s="5"/>
      <c r="S98" s="3"/>
      <c r="T98" s="3"/>
      <c r="U98" s="3"/>
      <c r="V98" s="3"/>
      <c r="W98" s="3"/>
      <c r="X98" s="3"/>
      <c r="Y98" s="3"/>
      <c r="Z98" s="3"/>
    </row>
    <row r="99" ht="12.75" customHeight="1">
      <c r="A99" s="3"/>
      <c r="B99" s="3"/>
      <c r="C99" s="3"/>
      <c r="D99" s="3"/>
      <c r="E99" s="3"/>
      <c r="F99" s="3"/>
      <c r="G99" s="3"/>
      <c r="H99" s="3"/>
      <c r="I99" s="3"/>
      <c r="J99" s="3"/>
      <c r="K99" s="3"/>
      <c r="L99" s="3"/>
      <c r="M99" s="3"/>
      <c r="N99" s="3"/>
      <c r="O99" s="3"/>
      <c r="P99" s="3"/>
      <c r="Q99" s="3"/>
      <c r="R99" s="5"/>
      <c r="S99" s="3"/>
      <c r="T99" s="3"/>
      <c r="U99" s="3"/>
      <c r="V99" s="3"/>
      <c r="W99" s="3"/>
      <c r="X99" s="3"/>
      <c r="Y99" s="3"/>
      <c r="Z99" s="3"/>
    </row>
    <row r="100" ht="12.75" customHeight="1">
      <c r="A100" s="3"/>
      <c r="B100" s="3"/>
      <c r="C100" s="3"/>
      <c r="D100" s="3"/>
      <c r="E100" s="3"/>
      <c r="F100" s="3"/>
      <c r="G100" s="3"/>
      <c r="H100" s="3"/>
      <c r="I100" s="3"/>
      <c r="J100" s="3"/>
      <c r="K100" s="3"/>
      <c r="L100" s="3"/>
      <c r="M100" s="3"/>
      <c r="N100" s="3"/>
      <c r="O100" s="3"/>
      <c r="P100" s="3"/>
      <c r="Q100" s="3"/>
      <c r="R100" s="5"/>
      <c r="S100" s="3"/>
      <c r="T100" s="3"/>
      <c r="U100" s="3"/>
      <c r="V100" s="3"/>
      <c r="W100" s="3"/>
      <c r="X100" s="3"/>
      <c r="Y100" s="3"/>
      <c r="Z100" s="3"/>
    </row>
    <row r="101" ht="12.75" customHeight="1">
      <c r="A101" s="3"/>
      <c r="B101" s="3"/>
      <c r="C101" s="3"/>
      <c r="D101" s="3"/>
      <c r="E101" s="3"/>
      <c r="F101" s="3"/>
      <c r="G101" s="3"/>
      <c r="H101" s="3"/>
      <c r="I101" s="3"/>
      <c r="J101" s="3"/>
      <c r="K101" s="3"/>
      <c r="L101" s="3"/>
      <c r="M101" s="3"/>
      <c r="N101" s="3"/>
      <c r="O101" s="3"/>
      <c r="P101" s="3"/>
      <c r="Q101" s="3"/>
      <c r="R101" s="5"/>
      <c r="S101" s="3"/>
      <c r="T101" s="3"/>
      <c r="U101" s="3"/>
      <c r="V101" s="3"/>
      <c r="W101" s="3"/>
      <c r="X101" s="3"/>
      <c r="Y101" s="3"/>
      <c r="Z101" s="3"/>
    </row>
    <row r="102" ht="12.75" customHeight="1">
      <c r="A102" s="3"/>
      <c r="B102" s="3"/>
      <c r="C102" s="3"/>
      <c r="D102" s="3"/>
      <c r="E102" s="3"/>
      <c r="F102" s="3"/>
      <c r="G102" s="3"/>
      <c r="H102" s="3"/>
      <c r="I102" s="3"/>
      <c r="J102" s="3"/>
      <c r="K102" s="3"/>
      <c r="L102" s="3"/>
      <c r="M102" s="3"/>
      <c r="N102" s="3"/>
      <c r="O102" s="3"/>
      <c r="P102" s="3"/>
      <c r="Q102" s="3"/>
      <c r="R102" s="5"/>
      <c r="S102" s="3"/>
      <c r="T102" s="3"/>
      <c r="U102" s="3"/>
      <c r="V102" s="3"/>
      <c r="W102" s="3"/>
      <c r="X102" s="3"/>
      <c r="Y102" s="3"/>
      <c r="Z102" s="3"/>
    </row>
    <row r="103" ht="12.75" customHeight="1">
      <c r="A103" s="3"/>
      <c r="B103" s="3"/>
      <c r="C103" s="3"/>
      <c r="D103" s="3"/>
      <c r="E103" s="3"/>
      <c r="F103" s="3"/>
      <c r="G103" s="3"/>
      <c r="H103" s="3"/>
      <c r="I103" s="3"/>
      <c r="J103" s="3"/>
      <c r="K103" s="3"/>
      <c r="L103" s="3"/>
      <c r="M103" s="3"/>
      <c r="N103" s="3"/>
      <c r="O103" s="3"/>
      <c r="P103" s="3"/>
      <c r="Q103" s="3"/>
      <c r="R103" s="5"/>
      <c r="S103" s="3"/>
      <c r="T103" s="3"/>
      <c r="U103" s="3"/>
      <c r="V103" s="3"/>
      <c r="W103" s="3"/>
      <c r="X103" s="3"/>
      <c r="Y103" s="3"/>
      <c r="Z103" s="3"/>
    </row>
    <row r="104" ht="12.75" customHeight="1">
      <c r="A104" s="3"/>
      <c r="B104" s="3"/>
      <c r="C104" s="3"/>
      <c r="D104" s="3"/>
      <c r="E104" s="3"/>
      <c r="F104" s="3"/>
      <c r="G104" s="3"/>
      <c r="H104" s="3"/>
      <c r="I104" s="3"/>
      <c r="J104" s="3"/>
      <c r="K104" s="3"/>
      <c r="L104" s="3"/>
      <c r="M104" s="3"/>
      <c r="N104" s="3"/>
      <c r="O104" s="3"/>
      <c r="P104" s="3"/>
      <c r="Q104" s="3"/>
      <c r="R104" s="5"/>
      <c r="S104" s="3"/>
      <c r="T104" s="3"/>
      <c r="U104" s="3"/>
      <c r="V104" s="3"/>
      <c r="W104" s="3"/>
      <c r="X104" s="3"/>
      <c r="Y104" s="3"/>
      <c r="Z104" s="3"/>
    </row>
    <row r="105" ht="12.75" customHeight="1">
      <c r="A105" s="3"/>
      <c r="B105" s="3"/>
      <c r="C105" s="3"/>
      <c r="D105" s="3"/>
      <c r="E105" s="3"/>
      <c r="F105" s="3"/>
      <c r="G105" s="3"/>
      <c r="H105" s="3"/>
      <c r="I105" s="3"/>
      <c r="J105" s="3"/>
      <c r="K105" s="3"/>
      <c r="L105" s="3"/>
      <c r="M105" s="3"/>
      <c r="N105" s="3"/>
      <c r="O105" s="3"/>
      <c r="P105" s="3"/>
      <c r="Q105" s="3"/>
      <c r="R105" s="5"/>
      <c r="S105" s="3"/>
      <c r="T105" s="3"/>
      <c r="U105" s="3"/>
      <c r="V105" s="3"/>
      <c r="W105" s="3"/>
      <c r="X105" s="3"/>
      <c r="Y105" s="3"/>
      <c r="Z105" s="3"/>
    </row>
    <row r="106" ht="12.75" customHeight="1">
      <c r="A106" s="3"/>
      <c r="B106" s="3"/>
      <c r="C106" s="3"/>
      <c r="D106" s="3"/>
      <c r="E106" s="3"/>
      <c r="F106" s="3"/>
      <c r="G106" s="3"/>
      <c r="H106" s="3"/>
      <c r="I106" s="3"/>
      <c r="J106" s="3"/>
      <c r="K106" s="3"/>
      <c r="L106" s="3"/>
      <c r="M106" s="3"/>
      <c r="N106" s="3"/>
      <c r="O106" s="3"/>
      <c r="P106" s="3"/>
      <c r="Q106" s="3"/>
      <c r="R106" s="5"/>
      <c r="S106" s="3"/>
      <c r="T106" s="3"/>
      <c r="U106" s="3"/>
      <c r="V106" s="3"/>
      <c r="W106" s="3"/>
      <c r="X106" s="3"/>
      <c r="Y106" s="3"/>
      <c r="Z106" s="3"/>
    </row>
    <row r="107" ht="12.75" customHeight="1">
      <c r="A107" s="3"/>
      <c r="B107" s="3"/>
      <c r="C107" s="3"/>
      <c r="D107" s="3"/>
      <c r="E107" s="3"/>
      <c r="F107" s="3"/>
      <c r="G107" s="3"/>
      <c r="H107" s="3"/>
      <c r="I107" s="3"/>
      <c r="J107" s="3"/>
      <c r="K107" s="3"/>
      <c r="L107" s="3"/>
      <c r="M107" s="3"/>
      <c r="N107" s="3"/>
      <c r="O107" s="3"/>
      <c r="P107" s="3"/>
      <c r="Q107" s="3"/>
      <c r="R107" s="5"/>
      <c r="S107" s="3"/>
      <c r="T107" s="3"/>
      <c r="U107" s="3"/>
      <c r="V107" s="3"/>
      <c r="W107" s="3"/>
      <c r="X107" s="3"/>
      <c r="Y107" s="3"/>
      <c r="Z107" s="3"/>
    </row>
    <row r="108" ht="12.75" customHeight="1">
      <c r="A108" s="3"/>
      <c r="B108" s="3"/>
      <c r="C108" s="3"/>
      <c r="D108" s="3"/>
      <c r="E108" s="3"/>
      <c r="F108" s="3"/>
      <c r="G108" s="3"/>
      <c r="H108" s="3"/>
      <c r="I108" s="3"/>
      <c r="J108" s="3"/>
      <c r="K108" s="3"/>
      <c r="L108" s="3"/>
      <c r="M108" s="3"/>
      <c r="N108" s="3"/>
      <c r="O108" s="3"/>
      <c r="P108" s="3"/>
      <c r="Q108" s="3"/>
      <c r="R108" s="5"/>
      <c r="S108" s="3"/>
      <c r="T108" s="3"/>
      <c r="U108" s="3"/>
      <c r="V108" s="3"/>
      <c r="W108" s="3"/>
      <c r="X108" s="3"/>
      <c r="Y108" s="3"/>
      <c r="Z108" s="3"/>
    </row>
    <row r="109" ht="12.75" customHeight="1">
      <c r="A109" s="3"/>
      <c r="B109" s="3"/>
      <c r="C109" s="3"/>
      <c r="D109" s="3"/>
      <c r="E109" s="3"/>
      <c r="F109" s="3"/>
      <c r="G109" s="3"/>
      <c r="H109" s="3"/>
      <c r="I109" s="3"/>
      <c r="J109" s="3"/>
      <c r="K109" s="3"/>
      <c r="L109" s="3"/>
      <c r="M109" s="3"/>
      <c r="N109" s="3"/>
      <c r="O109" s="3"/>
      <c r="P109" s="3"/>
      <c r="Q109" s="3"/>
      <c r="R109" s="5"/>
      <c r="S109" s="3"/>
      <c r="T109" s="3"/>
      <c r="U109" s="3"/>
      <c r="V109" s="3"/>
      <c r="W109" s="3"/>
      <c r="X109" s="3"/>
      <c r="Y109" s="3"/>
      <c r="Z109" s="3"/>
    </row>
    <row r="110" ht="12.75" customHeight="1">
      <c r="A110" s="3"/>
      <c r="B110" s="3"/>
      <c r="C110" s="3"/>
      <c r="D110" s="3"/>
      <c r="E110" s="3"/>
      <c r="F110" s="3"/>
      <c r="G110" s="3"/>
      <c r="H110" s="3"/>
      <c r="I110" s="3"/>
      <c r="J110" s="3"/>
      <c r="K110" s="3"/>
      <c r="L110" s="3"/>
      <c r="M110" s="3"/>
      <c r="N110" s="3"/>
      <c r="O110" s="3"/>
      <c r="P110" s="3"/>
      <c r="Q110" s="3"/>
      <c r="R110" s="5"/>
      <c r="S110" s="3"/>
      <c r="T110" s="3"/>
      <c r="U110" s="3"/>
      <c r="V110" s="3"/>
      <c r="W110" s="3"/>
      <c r="X110" s="3"/>
      <c r="Y110" s="3"/>
      <c r="Z110" s="3"/>
    </row>
    <row r="111" ht="12.75" customHeight="1">
      <c r="A111" s="3"/>
      <c r="B111" s="3"/>
      <c r="C111" s="3"/>
      <c r="D111" s="3"/>
      <c r="E111" s="3"/>
      <c r="F111" s="3"/>
      <c r="G111" s="3"/>
      <c r="H111" s="3"/>
      <c r="I111" s="3"/>
      <c r="J111" s="3"/>
      <c r="K111" s="3"/>
      <c r="L111" s="3"/>
      <c r="M111" s="3"/>
      <c r="N111" s="3"/>
      <c r="O111" s="3"/>
      <c r="P111" s="3"/>
      <c r="Q111" s="3"/>
      <c r="R111" s="5"/>
      <c r="S111" s="3"/>
      <c r="T111" s="3"/>
      <c r="U111" s="3"/>
      <c r="V111" s="3"/>
      <c r="W111" s="3"/>
      <c r="X111" s="3"/>
      <c r="Y111" s="3"/>
      <c r="Z111" s="3"/>
    </row>
    <row r="112" ht="12.75" customHeight="1">
      <c r="A112" s="3"/>
      <c r="B112" s="3"/>
      <c r="C112" s="3"/>
      <c r="D112" s="3"/>
      <c r="E112" s="3"/>
      <c r="F112" s="3"/>
      <c r="G112" s="3"/>
      <c r="H112" s="3"/>
      <c r="I112" s="3"/>
      <c r="J112" s="3"/>
      <c r="K112" s="3"/>
      <c r="L112" s="3"/>
      <c r="M112" s="3"/>
      <c r="N112" s="3"/>
      <c r="O112" s="3"/>
      <c r="P112" s="3"/>
      <c r="Q112" s="3"/>
      <c r="R112" s="5"/>
      <c r="S112" s="3"/>
      <c r="T112" s="3"/>
      <c r="U112" s="3"/>
      <c r="V112" s="3"/>
      <c r="W112" s="3"/>
      <c r="X112" s="3"/>
      <c r="Y112" s="3"/>
      <c r="Z112" s="3"/>
    </row>
    <row r="113" ht="12.75" customHeight="1">
      <c r="A113" s="3"/>
      <c r="B113" s="3"/>
      <c r="C113" s="3"/>
      <c r="D113" s="3"/>
      <c r="E113" s="3"/>
      <c r="F113" s="3"/>
      <c r="G113" s="3"/>
      <c r="H113" s="3"/>
      <c r="I113" s="3"/>
      <c r="J113" s="3"/>
      <c r="K113" s="3"/>
      <c r="L113" s="3"/>
      <c r="M113" s="3"/>
      <c r="N113" s="3"/>
      <c r="O113" s="3"/>
      <c r="P113" s="3"/>
      <c r="Q113" s="3"/>
      <c r="R113" s="5"/>
      <c r="S113" s="3"/>
      <c r="T113" s="3"/>
      <c r="U113" s="3"/>
      <c r="V113" s="3"/>
      <c r="W113" s="3"/>
      <c r="X113" s="3"/>
      <c r="Y113" s="3"/>
      <c r="Z113" s="3"/>
    </row>
    <row r="114" ht="12.75" customHeight="1">
      <c r="A114" s="3"/>
      <c r="B114" s="3"/>
      <c r="C114" s="3"/>
      <c r="D114" s="3"/>
      <c r="E114" s="3"/>
      <c r="F114" s="3"/>
      <c r="G114" s="3"/>
      <c r="H114" s="3"/>
      <c r="I114" s="3"/>
      <c r="J114" s="3"/>
      <c r="K114" s="3"/>
      <c r="L114" s="3"/>
      <c r="M114" s="3"/>
      <c r="N114" s="3"/>
      <c r="O114" s="3"/>
      <c r="P114" s="3"/>
      <c r="Q114" s="3"/>
      <c r="R114" s="5"/>
      <c r="S114" s="3"/>
      <c r="T114" s="3"/>
      <c r="U114" s="3"/>
      <c r="V114" s="3"/>
      <c r="W114" s="3"/>
      <c r="X114" s="3"/>
      <c r="Y114" s="3"/>
      <c r="Z114" s="3"/>
    </row>
    <row r="115" ht="12.75" customHeight="1">
      <c r="A115" s="3"/>
      <c r="B115" s="3"/>
      <c r="C115" s="3"/>
      <c r="D115" s="3"/>
      <c r="E115" s="3"/>
      <c r="F115" s="3"/>
      <c r="G115" s="3"/>
      <c r="H115" s="3"/>
      <c r="I115" s="3"/>
      <c r="J115" s="3"/>
      <c r="K115" s="3"/>
      <c r="L115" s="3"/>
      <c r="M115" s="3"/>
      <c r="N115" s="3"/>
      <c r="O115" s="3"/>
      <c r="P115" s="3"/>
      <c r="Q115" s="3"/>
      <c r="R115" s="5"/>
      <c r="S115" s="3"/>
      <c r="T115" s="3"/>
      <c r="U115" s="3"/>
      <c r="V115" s="3"/>
      <c r="W115" s="3"/>
      <c r="X115" s="3"/>
      <c r="Y115" s="3"/>
      <c r="Z115" s="3"/>
    </row>
    <row r="116" ht="12.75" customHeight="1">
      <c r="A116" s="3"/>
      <c r="B116" s="3"/>
      <c r="C116" s="3"/>
      <c r="D116" s="3"/>
      <c r="E116" s="3"/>
      <c r="F116" s="3"/>
      <c r="G116" s="3"/>
      <c r="H116" s="3"/>
      <c r="I116" s="3"/>
      <c r="J116" s="3"/>
      <c r="K116" s="3"/>
      <c r="L116" s="3"/>
      <c r="M116" s="3"/>
      <c r="N116" s="3"/>
      <c r="O116" s="3"/>
      <c r="P116" s="3"/>
      <c r="Q116" s="3"/>
      <c r="R116" s="5"/>
      <c r="S116" s="3"/>
      <c r="T116" s="3"/>
      <c r="U116" s="3"/>
      <c r="V116" s="3"/>
      <c r="W116" s="3"/>
      <c r="X116" s="3"/>
      <c r="Y116" s="3"/>
      <c r="Z116" s="3"/>
    </row>
    <row r="117" ht="12.75" customHeight="1">
      <c r="A117" s="3"/>
      <c r="B117" s="3"/>
      <c r="C117" s="3"/>
      <c r="D117" s="3"/>
      <c r="E117" s="3"/>
      <c r="F117" s="3"/>
      <c r="G117" s="3"/>
      <c r="H117" s="3"/>
      <c r="I117" s="3"/>
      <c r="J117" s="3"/>
      <c r="K117" s="3"/>
      <c r="L117" s="3"/>
      <c r="M117" s="3"/>
      <c r="N117" s="3"/>
      <c r="O117" s="3"/>
      <c r="P117" s="3"/>
      <c r="Q117" s="3"/>
      <c r="R117" s="5"/>
      <c r="S117" s="3"/>
      <c r="T117" s="3"/>
      <c r="U117" s="3"/>
      <c r="V117" s="3"/>
      <c r="W117" s="3"/>
      <c r="X117" s="3"/>
      <c r="Y117" s="3"/>
      <c r="Z117" s="3"/>
    </row>
    <row r="118" ht="12.75" customHeight="1">
      <c r="A118" s="3"/>
      <c r="B118" s="3"/>
      <c r="C118" s="3"/>
      <c r="D118" s="3"/>
      <c r="E118" s="3"/>
      <c r="F118" s="3"/>
      <c r="G118" s="3"/>
      <c r="H118" s="3"/>
      <c r="I118" s="3"/>
      <c r="J118" s="3"/>
      <c r="K118" s="3"/>
      <c r="L118" s="3"/>
      <c r="M118" s="3"/>
      <c r="N118" s="3"/>
      <c r="O118" s="3"/>
      <c r="P118" s="3"/>
      <c r="Q118" s="3"/>
      <c r="R118" s="5"/>
      <c r="S118" s="3"/>
      <c r="T118" s="3"/>
      <c r="U118" s="3"/>
      <c r="V118" s="3"/>
      <c r="W118" s="3"/>
      <c r="X118" s="3"/>
      <c r="Y118" s="3"/>
      <c r="Z118" s="3"/>
    </row>
    <row r="119" ht="12.75" customHeight="1">
      <c r="A119" s="3"/>
      <c r="B119" s="3"/>
      <c r="C119" s="3"/>
      <c r="D119" s="3"/>
      <c r="E119" s="3"/>
      <c r="F119" s="3"/>
      <c r="G119" s="3"/>
      <c r="H119" s="3"/>
      <c r="I119" s="3"/>
      <c r="J119" s="3"/>
      <c r="K119" s="3"/>
      <c r="L119" s="3"/>
      <c r="M119" s="3"/>
      <c r="N119" s="3"/>
      <c r="O119" s="3"/>
      <c r="P119" s="3"/>
      <c r="Q119" s="3"/>
      <c r="R119" s="5"/>
      <c r="S119" s="3"/>
      <c r="T119" s="3"/>
      <c r="U119" s="3"/>
      <c r="V119" s="3"/>
      <c r="W119" s="3"/>
      <c r="X119" s="3"/>
      <c r="Y119" s="3"/>
      <c r="Z119" s="3"/>
    </row>
    <row r="120" ht="12.75" customHeight="1">
      <c r="A120" s="3"/>
      <c r="B120" s="3"/>
      <c r="C120" s="3"/>
      <c r="D120" s="3"/>
      <c r="E120" s="3"/>
      <c r="F120" s="3"/>
      <c r="G120" s="3"/>
      <c r="H120" s="3"/>
      <c r="I120" s="3"/>
      <c r="J120" s="3"/>
      <c r="K120" s="3"/>
      <c r="L120" s="3"/>
      <c r="M120" s="3"/>
      <c r="N120" s="3"/>
      <c r="O120" s="3"/>
      <c r="P120" s="3"/>
      <c r="Q120" s="3"/>
      <c r="R120" s="5"/>
      <c r="S120" s="3"/>
      <c r="T120" s="3"/>
      <c r="U120" s="3"/>
      <c r="V120" s="3"/>
      <c r="W120" s="3"/>
      <c r="X120" s="3"/>
      <c r="Y120" s="3"/>
      <c r="Z120" s="3"/>
    </row>
    <row r="121" ht="12.75" customHeight="1">
      <c r="A121" s="3"/>
      <c r="B121" s="3"/>
      <c r="C121" s="3"/>
      <c r="D121" s="3"/>
      <c r="E121" s="3"/>
      <c r="F121" s="3"/>
      <c r="G121" s="3"/>
      <c r="H121" s="3"/>
      <c r="I121" s="3"/>
      <c r="J121" s="3"/>
      <c r="K121" s="3"/>
      <c r="L121" s="3"/>
      <c r="M121" s="3"/>
      <c r="N121" s="3"/>
      <c r="O121" s="3"/>
      <c r="P121" s="3"/>
      <c r="Q121" s="3"/>
      <c r="R121" s="5"/>
      <c r="S121" s="3"/>
      <c r="T121" s="3"/>
      <c r="U121" s="3"/>
      <c r="V121" s="3"/>
      <c r="W121" s="3"/>
      <c r="X121" s="3"/>
      <c r="Y121" s="3"/>
      <c r="Z121" s="3"/>
    </row>
    <row r="122" ht="12.75" customHeight="1">
      <c r="A122" s="3"/>
      <c r="B122" s="3"/>
      <c r="C122" s="3"/>
      <c r="D122" s="3"/>
      <c r="E122" s="3"/>
      <c r="F122" s="3"/>
      <c r="G122" s="3"/>
      <c r="H122" s="3"/>
      <c r="I122" s="3"/>
      <c r="J122" s="3"/>
      <c r="K122" s="3"/>
      <c r="L122" s="3"/>
      <c r="M122" s="3"/>
      <c r="N122" s="3"/>
      <c r="O122" s="3"/>
      <c r="P122" s="3"/>
      <c r="Q122" s="3"/>
      <c r="R122" s="5"/>
      <c r="S122" s="3"/>
      <c r="T122" s="3"/>
      <c r="U122" s="3"/>
      <c r="V122" s="3"/>
      <c r="W122" s="3"/>
      <c r="X122" s="3"/>
      <c r="Y122" s="3"/>
      <c r="Z122" s="3"/>
    </row>
    <row r="123" ht="12.75" customHeight="1">
      <c r="A123" s="3"/>
      <c r="B123" s="3"/>
      <c r="C123" s="3"/>
      <c r="D123" s="3"/>
      <c r="E123" s="3"/>
      <c r="F123" s="3"/>
      <c r="G123" s="3"/>
      <c r="H123" s="3"/>
      <c r="I123" s="3"/>
      <c r="J123" s="3"/>
      <c r="K123" s="3"/>
      <c r="L123" s="3"/>
      <c r="M123" s="3"/>
      <c r="N123" s="3"/>
      <c r="O123" s="3"/>
      <c r="P123" s="3"/>
      <c r="Q123" s="3"/>
      <c r="R123" s="5"/>
      <c r="S123" s="3"/>
      <c r="T123" s="3"/>
      <c r="U123" s="3"/>
      <c r="V123" s="3"/>
      <c r="W123" s="3"/>
      <c r="X123" s="3"/>
      <c r="Y123" s="3"/>
      <c r="Z123" s="3"/>
    </row>
    <row r="124" ht="12.75" customHeight="1">
      <c r="A124" s="3"/>
      <c r="B124" s="3"/>
      <c r="C124" s="3"/>
      <c r="D124" s="3"/>
      <c r="E124" s="3"/>
      <c r="F124" s="3"/>
      <c r="G124" s="3"/>
      <c r="H124" s="3"/>
      <c r="I124" s="3"/>
      <c r="J124" s="3"/>
      <c r="K124" s="3"/>
      <c r="L124" s="3"/>
      <c r="M124" s="3"/>
      <c r="N124" s="3"/>
      <c r="O124" s="3"/>
      <c r="P124" s="3"/>
      <c r="Q124" s="3"/>
      <c r="R124" s="5"/>
      <c r="S124" s="3"/>
      <c r="T124" s="3"/>
      <c r="U124" s="3"/>
      <c r="V124" s="3"/>
      <c r="W124" s="3"/>
      <c r="X124" s="3"/>
      <c r="Y124" s="3"/>
      <c r="Z124" s="3"/>
    </row>
    <row r="125" ht="12.75" customHeight="1">
      <c r="A125" s="3"/>
      <c r="B125" s="3"/>
      <c r="C125" s="3"/>
      <c r="D125" s="3"/>
      <c r="E125" s="3"/>
      <c r="F125" s="3"/>
      <c r="G125" s="3"/>
      <c r="H125" s="3"/>
      <c r="I125" s="3"/>
      <c r="J125" s="3"/>
      <c r="K125" s="3"/>
      <c r="L125" s="3"/>
      <c r="M125" s="3"/>
      <c r="N125" s="3"/>
      <c r="O125" s="3"/>
      <c r="P125" s="3"/>
      <c r="Q125" s="3"/>
      <c r="R125" s="5"/>
      <c r="S125" s="3"/>
      <c r="T125" s="3"/>
      <c r="U125" s="3"/>
      <c r="V125" s="3"/>
      <c r="W125" s="3"/>
      <c r="X125" s="3"/>
      <c r="Y125" s="3"/>
      <c r="Z125" s="3"/>
    </row>
    <row r="126" ht="12.75" customHeight="1">
      <c r="A126" s="3"/>
      <c r="B126" s="3"/>
      <c r="C126" s="3"/>
      <c r="D126" s="3"/>
      <c r="E126" s="3"/>
      <c r="F126" s="3"/>
      <c r="G126" s="3"/>
      <c r="H126" s="3"/>
      <c r="I126" s="3"/>
      <c r="J126" s="3"/>
      <c r="K126" s="3"/>
      <c r="L126" s="3"/>
      <c r="M126" s="3"/>
      <c r="N126" s="3"/>
      <c r="O126" s="3"/>
      <c r="P126" s="3"/>
      <c r="Q126" s="3"/>
      <c r="R126" s="5"/>
      <c r="S126" s="3"/>
      <c r="T126" s="3"/>
      <c r="U126" s="3"/>
      <c r="V126" s="3"/>
      <c r="W126" s="3"/>
      <c r="X126" s="3"/>
      <c r="Y126" s="3"/>
      <c r="Z126" s="3"/>
    </row>
    <row r="127" ht="12.75" customHeight="1">
      <c r="A127" s="3"/>
      <c r="B127" s="3"/>
      <c r="C127" s="3"/>
      <c r="D127" s="3"/>
      <c r="E127" s="3"/>
      <c r="F127" s="3"/>
      <c r="G127" s="3"/>
      <c r="H127" s="3"/>
      <c r="I127" s="3"/>
      <c r="J127" s="3"/>
      <c r="K127" s="3"/>
      <c r="L127" s="3"/>
      <c r="M127" s="3"/>
      <c r="N127" s="3"/>
      <c r="O127" s="3"/>
      <c r="P127" s="3"/>
      <c r="Q127" s="3"/>
      <c r="R127" s="5"/>
      <c r="S127" s="3"/>
      <c r="T127" s="3"/>
      <c r="U127" s="3"/>
      <c r="V127" s="3"/>
      <c r="W127" s="3"/>
      <c r="X127" s="3"/>
      <c r="Y127" s="3"/>
      <c r="Z127" s="3"/>
    </row>
    <row r="128" ht="12.75" customHeight="1">
      <c r="A128" s="3"/>
      <c r="B128" s="3"/>
      <c r="C128" s="3"/>
      <c r="D128" s="3"/>
      <c r="E128" s="3"/>
      <c r="F128" s="3"/>
      <c r="G128" s="3"/>
      <c r="H128" s="3"/>
      <c r="I128" s="3"/>
      <c r="J128" s="3"/>
      <c r="K128" s="3"/>
      <c r="L128" s="3"/>
      <c r="M128" s="3"/>
      <c r="N128" s="3"/>
      <c r="O128" s="3"/>
      <c r="P128" s="3"/>
      <c r="Q128" s="3"/>
      <c r="R128" s="5"/>
      <c r="S128" s="3"/>
      <c r="T128" s="3"/>
      <c r="U128" s="3"/>
      <c r="V128" s="3"/>
      <c r="W128" s="3"/>
      <c r="X128" s="3"/>
      <c r="Y128" s="3"/>
      <c r="Z128" s="3"/>
    </row>
    <row r="129" ht="12.75" customHeight="1">
      <c r="A129" s="3"/>
      <c r="B129" s="3"/>
      <c r="C129" s="3"/>
      <c r="D129" s="3"/>
      <c r="E129" s="3"/>
      <c r="F129" s="3"/>
      <c r="G129" s="3"/>
      <c r="H129" s="3"/>
      <c r="I129" s="3"/>
      <c r="J129" s="3"/>
      <c r="K129" s="3"/>
      <c r="L129" s="3"/>
      <c r="M129" s="3"/>
      <c r="N129" s="3"/>
      <c r="O129" s="3"/>
      <c r="P129" s="3"/>
      <c r="Q129" s="3"/>
      <c r="R129" s="5"/>
      <c r="S129" s="3"/>
      <c r="T129" s="3"/>
      <c r="U129" s="3"/>
      <c r="V129" s="3"/>
      <c r="W129" s="3"/>
      <c r="X129" s="3"/>
      <c r="Y129" s="3"/>
      <c r="Z129" s="3"/>
    </row>
    <row r="130" ht="12.75" customHeight="1">
      <c r="A130" s="3"/>
      <c r="B130" s="3"/>
      <c r="C130" s="3"/>
      <c r="D130" s="3"/>
      <c r="E130" s="3"/>
      <c r="F130" s="3"/>
      <c r="G130" s="3"/>
      <c r="H130" s="3"/>
      <c r="I130" s="3"/>
      <c r="J130" s="3"/>
      <c r="K130" s="3"/>
      <c r="L130" s="3"/>
      <c r="M130" s="3"/>
      <c r="N130" s="3"/>
      <c r="O130" s="3"/>
      <c r="P130" s="3"/>
      <c r="Q130" s="3"/>
      <c r="R130" s="5"/>
      <c r="S130" s="3"/>
      <c r="T130" s="3"/>
      <c r="U130" s="3"/>
      <c r="V130" s="3"/>
      <c r="W130" s="3"/>
      <c r="X130" s="3"/>
      <c r="Y130" s="3"/>
      <c r="Z130" s="3"/>
    </row>
    <row r="131" ht="12.75" customHeight="1">
      <c r="A131" s="3"/>
      <c r="B131" s="3"/>
      <c r="C131" s="3"/>
      <c r="D131" s="3"/>
      <c r="E131" s="3"/>
      <c r="F131" s="3"/>
      <c r="G131" s="3"/>
      <c r="H131" s="3"/>
      <c r="I131" s="3"/>
      <c r="J131" s="3"/>
      <c r="K131" s="3"/>
      <c r="L131" s="3"/>
      <c r="M131" s="3"/>
      <c r="N131" s="3"/>
      <c r="O131" s="3"/>
      <c r="P131" s="3"/>
      <c r="Q131" s="3"/>
      <c r="R131" s="5"/>
      <c r="S131" s="3"/>
      <c r="T131" s="3"/>
      <c r="U131" s="3"/>
      <c r="V131" s="3"/>
      <c r="W131" s="3"/>
      <c r="X131" s="3"/>
      <c r="Y131" s="3"/>
      <c r="Z131" s="3"/>
    </row>
    <row r="132" ht="12.75" customHeight="1">
      <c r="A132" s="3"/>
      <c r="B132" s="3"/>
      <c r="C132" s="3"/>
      <c r="D132" s="3"/>
      <c r="E132" s="3"/>
      <c r="F132" s="3"/>
      <c r="G132" s="3"/>
      <c r="H132" s="3"/>
      <c r="I132" s="3"/>
      <c r="J132" s="3"/>
      <c r="K132" s="3"/>
      <c r="L132" s="3"/>
      <c r="M132" s="3"/>
      <c r="N132" s="3"/>
      <c r="O132" s="3"/>
      <c r="P132" s="3"/>
      <c r="Q132" s="3"/>
      <c r="R132" s="5"/>
      <c r="S132" s="3"/>
      <c r="T132" s="3"/>
      <c r="U132" s="3"/>
      <c r="V132" s="3"/>
      <c r="W132" s="3"/>
      <c r="X132" s="3"/>
      <c r="Y132" s="3"/>
      <c r="Z132" s="3"/>
    </row>
    <row r="133" ht="12.75" customHeight="1">
      <c r="A133" s="3"/>
      <c r="B133" s="3"/>
      <c r="C133" s="3"/>
      <c r="D133" s="3"/>
      <c r="E133" s="3"/>
      <c r="F133" s="3"/>
      <c r="G133" s="3"/>
      <c r="H133" s="3"/>
      <c r="I133" s="3"/>
      <c r="J133" s="3"/>
      <c r="K133" s="3"/>
      <c r="L133" s="3"/>
      <c r="M133" s="3"/>
      <c r="N133" s="3"/>
      <c r="O133" s="3"/>
      <c r="P133" s="3"/>
      <c r="Q133" s="3"/>
      <c r="R133" s="5"/>
      <c r="S133" s="3"/>
      <c r="T133" s="3"/>
      <c r="U133" s="3"/>
      <c r="V133" s="3"/>
      <c r="W133" s="3"/>
      <c r="X133" s="3"/>
      <c r="Y133" s="3"/>
      <c r="Z133" s="3"/>
    </row>
    <row r="134" ht="12.75" customHeight="1">
      <c r="A134" s="3"/>
      <c r="B134" s="3"/>
      <c r="C134" s="3"/>
      <c r="D134" s="3"/>
      <c r="E134" s="3"/>
      <c r="F134" s="3"/>
      <c r="G134" s="3"/>
      <c r="H134" s="3"/>
      <c r="I134" s="3"/>
      <c r="J134" s="3"/>
      <c r="K134" s="3"/>
      <c r="L134" s="3"/>
      <c r="M134" s="3"/>
      <c r="N134" s="3"/>
      <c r="O134" s="3"/>
      <c r="P134" s="3"/>
      <c r="Q134" s="3"/>
      <c r="R134" s="5"/>
      <c r="S134" s="3"/>
      <c r="T134" s="3"/>
      <c r="U134" s="3"/>
      <c r="V134" s="3"/>
      <c r="W134" s="3"/>
      <c r="X134" s="3"/>
      <c r="Y134" s="3"/>
      <c r="Z134" s="3"/>
    </row>
    <row r="135" ht="12.75" customHeight="1">
      <c r="A135" s="3"/>
      <c r="B135" s="3"/>
      <c r="C135" s="3"/>
      <c r="D135" s="3"/>
      <c r="E135" s="3"/>
      <c r="F135" s="3"/>
      <c r="G135" s="3"/>
      <c r="H135" s="3"/>
      <c r="I135" s="3"/>
      <c r="J135" s="3"/>
      <c r="K135" s="3"/>
      <c r="L135" s="3"/>
      <c r="M135" s="3"/>
      <c r="N135" s="3"/>
      <c r="O135" s="3"/>
      <c r="P135" s="3"/>
      <c r="Q135" s="3"/>
      <c r="R135" s="5"/>
      <c r="S135" s="3"/>
      <c r="T135" s="3"/>
      <c r="U135" s="3"/>
      <c r="V135" s="3"/>
      <c r="W135" s="3"/>
      <c r="X135" s="3"/>
      <c r="Y135" s="3"/>
      <c r="Z135" s="3"/>
    </row>
    <row r="136" ht="12.75" customHeight="1">
      <c r="A136" s="3"/>
      <c r="B136" s="3"/>
      <c r="C136" s="3"/>
      <c r="D136" s="3"/>
      <c r="E136" s="3"/>
      <c r="F136" s="3"/>
      <c r="G136" s="3"/>
      <c r="H136" s="3"/>
      <c r="I136" s="3"/>
      <c r="J136" s="3"/>
      <c r="K136" s="3"/>
      <c r="L136" s="3"/>
      <c r="M136" s="3"/>
      <c r="N136" s="3"/>
      <c r="O136" s="3"/>
      <c r="P136" s="3"/>
      <c r="Q136" s="3"/>
      <c r="R136" s="5"/>
      <c r="S136" s="3"/>
      <c r="T136" s="3"/>
      <c r="U136" s="3"/>
      <c r="V136" s="3"/>
      <c r="W136" s="3"/>
      <c r="X136" s="3"/>
      <c r="Y136" s="3"/>
      <c r="Z136" s="3"/>
    </row>
    <row r="137" ht="12.75" customHeight="1">
      <c r="A137" s="3"/>
      <c r="B137" s="3"/>
      <c r="C137" s="3"/>
      <c r="D137" s="3"/>
      <c r="E137" s="3"/>
      <c r="F137" s="3"/>
      <c r="G137" s="3"/>
      <c r="H137" s="3"/>
      <c r="I137" s="3"/>
      <c r="J137" s="3"/>
      <c r="K137" s="3"/>
      <c r="L137" s="3"/>
      <c r="M137" s="3"/>
      <c r="N137" s="3"/>
      <c r="O137" s="3"/>
      <c r="P137" s="3"/>
      <c r="Q137" s="3"/>
      <c r="R137" s="5"/>
      <c r="S137" s="3"/>
      <c r="T137" s="3"/>
      <c r="U137" s="3"/>
      <c r="V137" s="3"/>
      <c r="W137" s="3"/>
      <c r="X137" s="3"/>
      <c r="Y137" s="3"/>
      <c r="Z137" s="3"/>
    </row>
    <row r="138" ht="12.75" customHeight="1">
      <c r="A138" s="3"/>
      <c r="B138" s="3"/>
      <c r="C138" s="3"/>
      <c r="D138" s="3"/>
      <c r="E138" s="3"/>
      <c r="F138" s="3"/>
      <c r="G138" s="3"/>
      <c r="H138" s="3"/>
      <c r="I138" s="3"/>
      <c r="J138" s="3"/>
      <c r="K138" s="3"/>
      <c r="L138" s="3"/>
      <c r="M138" s="3"/>
      <c r="N138" s="3"/>
      <c r="O138" s="3"/>
      <c r="P138" s="3"/>
      <c r="Q138" s="3"/>
      <c r="R138" s="5"/>
      <c r="S138" s="3"/>
      <c r="T138" s="3"/>
      <c r="U138" s="3"/>
      <c r="V138" s="3"/>
      <c r="W138" s="3"/>
      <c r="X138" s="3"/>
      <c r="Y138" s="3"/>
      <c r="Z138" s="3"/>
    </row>
    <row r="139" ht="12.75" customHeight="1">
      <c r="A139" s="3"/>
      <c r="B139" s="3"/>
      <c r="C139" s="3"/>
      <c r="D139" s="3"/>
      <c r="E139" s="3"/>
      <c r="F139" s="3"/>
      <c r="G139" s="3"/>
      <c r="H139" s="3"/>
      <c r="I139" s="3"/>
      <c r="J139" s="3"/>
      <c r="K139" s="3"/>
      <c r="L139" s="3"/>
      <c r="M139" s="3"/>
      <c r="N139" s="3"/>
      <c r="O139" s="3"/>
      <c r="P139" s="3"/>
      <c r="Q139" s="3"/>
      <c r="R139" s="5"/>
      <c r="S139" s="3"/>
      <c r="T139" s="3"/>
      <c r="U139" s="3"/>
      <c r="V139" s="3"/>
      <c r="W139" s="3"/>
      <c r="X139" s="3"/>
      <c r="Y139" s="3"/>
      <c r="Z139" s="3"/>
    </row>
    <row r="140" ht="12.75" customHeight="1">
      <c r="A140" s="3"/>
      <c r="B140" s="3"/>
      <c r="C140" s="3"/>
      <c r="D140" s="3"/>
      <c r="E140" s="3"/>
      <c r="F140" s="3"/>
      <c r="G140" s="3"/>
      <c r="H140" s="3"/>
      <c r="I140" s="3"/>
      <c r="J140" s="3"/>
      <c r="K140" s="3"/>
      <c r="L140" s="3"/>
      <c r="M140" s="3"/>
      <c r="N140" s="3"/>
      <c r="O140" s="3"/>
      <c r="P140" s="3"/>
      <c r="Q140" s="3"/>
      <c r="R140" s="5"/>
      <c r="S140" s="3"/>
      <c r="T140" s="3"/>
      <c r="U140" s="3"/>
      <c r="V140" s="3"/>
      <c r="W140" s="3"/>
      <c r="X140" s="3"/>
      <c r="Y140" s="3"/>
      <c r="Z140" s="3"/>
    </row>
    <row r="141" ht="12.75" customHeight="1">
      <c r="A141" s="3"/>
      <c r="B141" s="3"/>
      <c r="C141" s="3"/>
      <c r="D141" s="3"/>
      <c r="E141" s="3"/>
      <c r="F141" s="3"/>
      <c r="G141" s="3"/>
      <c r="H141" s="3"/>
      <c r="I141" s="3"/>
      <c r="J141" s="3"/>
      <c r="K141" s="3"/>
      <c r="L141" s="3"/>
      <c r="M141" s="3"/>
      <c r="N141" s="3"/>
      <c r="O141" s="3"/>
      <c r="P141" s="3"/>
      <c r="Q141" s="3"/>
      <c r="R141" s="5"/>
      <c r="S141" s="3"/>
      <c r="T141" s="3"/>
      <c r="U141" s="3"/>
      <c r="V141" s="3"/>
      <c r="W141" s="3"/>
      <c r="X141" s="3"/>
      <c r="Y141" s="3"/>
      <c r="Z141" s="3"/>
    </row>
    <row r="142" ht="12.75" customHeight="1">
      <c r="A142" s="3"/>
      <c r="B142" s="3"/>
      <c r="C142" s="3"/>
      <c r="D142" s="3"/>
      <c r="E142" s="3"/>
      <c r="F142" s="3"/>
      <c r="G142" s="3"/>
      <c r="H142" s="3"/>
      <c r="I142" s="3"/>
      <c r="J142" s="3"/>
      <c r="K142" s="3"/>
      <c r="L142" s="3"/>
      <c r="M142" s="3"/>
      <c r="N142" s="3"/>
      <c r="O142" s="3"/>
      <c r="P142" s="3"/>
      <c r="Q142" s="3"/>
      <c r="R142" s="5"/>
      <c r="S142" s="3"/>
      <c r="T142" s="3"/>
      <c r="U142" s="3"/>
      <c r="V142" s="3"/>
      <c r="W142" s="3"/>
      <c r="X142" s="3"/>
      <c r="Y142" s="3"/>
      <c r="Z142" s="3"/>
    </row>
    <row r="143" ht="12.75" customHeight="1">
      <c r="A143" s="3"/>
      <c r="B143" s="3"/>
      <c r="C143" s="3"/>
      <c r="D143" s="3"/>
      <c r="E143" s="3"/>
      <c r="F143" s="3"/>
      <c r="G143" s="3"/>
      <c r="H143" s="3"/>
      <c r="I143" s="3"/>
      <c r="J143" s="3"/>
      <c r="K143" s="3"/>
      <c r="L143" s="3"/>
      <c r="M143" s="3"/>
      <c r="N143" s="3"/>
      <c r="O143" s="3"/>
      <c r="P143" s="3"/>
      <c r="Q143" s="3"/>
      <c r="R143" s="5"/>
      <c r="S143" s="3"/>
      <c r="T143" s="3"/>
      <c r="U143" s="3"/>
      <c r="V143" s="3"/>
      <c r="W143" s="3"/>
      <c r="X143" s="3"/>
      <c r="Y143" s="3"/>
      <c r="Z143" s="3"/>
    </row>
    <row r="144" ht="12.75" customHeight="1">
      <c r="A144" s="3"/>
      <c r="B144" s="3"/>
      <c r="C144" s="3"/>
      <c r="D144" s="3"/>
      <c r="E144" s="3"/>
      <c r="F144" s="3"/>
      <c r="G144" s="3"/>
      <c r="H144" s="3"/>
      <c r="I144" s="3"/>
      <c r="J144" s="3"/>
      <c r="K144" s="3"/>
      <c r="L144" s="3"/>
      <c r="M144" s="3"/>
      <c r="N144" s="3"/>
      <c r="O144" s="3"/>
      <c r="P144" s="3"/>
      <c r="Q144" s="3"/>
      <c r="R144" s="5"/>
      <c r="S144" s="3"/>
      <c r="T144" s="3"/>
      <c r="U144" s="3"/>
      <c r="V144" s="3"/>
      <c r="W144" s="3"/>
      <c r="X144" s="3"/>
      <c r="Y144" s="3"/>
      <c r="Z144" s="3"/>
    </row>
    <row r="145" ht="12.75" customHeight="1">
      <c r="A145" s="3"/>
      <c r="B145" s="3"/>
      <c r="C145" s="3"/>
      <c r="D145" s="3"/>
      <c r="E145" s="3"/>
      <c r="F145" s="3"/>
      <c r="G145" s="3"/>
      <c r="H145" s="3"/>
      <c r="I145" s="3"/>
      <c r="J145" s="3"/>
      <c r="K145" s="3"/>
      <c r="L145" s="3"/>
      <c r="M145" s="3"/>
      <c r="N145" s="3"/>
      <c r="O145" s="3"/>
      <c r="P145" s="3"/>
      <c r="Q145" s="3"/>
      <c r="R145" s="5"/>
      <c r="S145" s="3"/>
      <c r="T145" s="3"/>
      <c r="U145" s="3"/>
      <c r="V145" s="3"/>
      <c r="W145" s="3"/>
      <c r="X145" s="3"/>
      <c r="Y145" s="3"/>
      <c r="Z145" s="3"/>
    </row>
    <row r="146" ht="12.75" customHeight="1">
      <c r="A146" s="3"/>
      <c r="B146" s="3"/>
      <c r="C146" s="3"/>
      <c r="D146" s="3"/>
      <c r="E146" s="3"/>
      <c r="F146" s="3"/>
      <c r="G146" s="3"/>
      <c r="H146" s="3"/>
      <c r="I146" s="3"/>
      <c r="J146" s="3"/>
      <c r="K146" s="3"/>
      <c r="L146" s="3"/>
      <c r="M146" s="3"/>
      <c r="N146" s="3"/>
      <c r="O146" s="3"/>
      <c r="P146" s="3"/>
      <c r="Q146" s="3"/>
      <c r="R146" s="5"/>
      <c r="S146" s="3"/>
      <c r="T146" s="3"/>
      <c r="U146" s="3"/>
      <c r="V146" s="3"/>
      <c r="W146" s="3"/>
      <c r="X146" s="3"/>
      <c r="Y146" s="3"/>
      <c r="Z146" s="3"/>
    </row>
    <row r="147" ht="12.75" customHeight="1">
      <c r="A147" s="3"/>
      <c r="B147" s="3"/>
      <c r="C147" s="3"/>
      <c r="D147" s="3"/>
      <c r="E147" s="3"/>
      <c r="F147" s="3"/>
      <c r="G147" s="3"/>
      <c r="H147" s="3"/>
      <c r="I147" s="3"/>
      <c r="J147" s="3"/>
      <c r="K147" s="3"/>
      <c r="L147" s="3"/>
      <c r="M147" s="3"/>
      <c r="N147" s="3"/>
      <c r="O147" s="3"/>
      <c r="P147" s="3"/>
      <c r="Q147" s="3"/>
      <c r="R147" s="5"/>
      <c r="S147" s="3"/>
      <c r="T147" s="3"/>
      <c r="U147" s="3"/>
      <c r="V147" s="3"/>
      <c r="W147" s="3"/>
      <c r="X147" s="3"/>
      <c r="Y147" s="3"/>
      <c r="Z147" s="3"/>
    </row>
    <row r="148" ht="12.75" customHeight="1">
      <c r="A148" s="3"/>
      <c r="B148" s="3"/>
      <c r="C148" s="3"/>
      <c r="D148" s="3"/>
      <c r="E148" s="3"/>
      <c r="F148" s="3"/>
      <c r="G148" s="3"/>
      <c r="H148" s="3"/>
      <c r="I148" s="3"/>
      <c r="J148" s="3"/>
      <c r="K148" s="3"/>
      <c r="L148" s="3"/>
      <c r="M148" s="3"/>
      <c r="N148" s="3"/>
      <c r="O148" s="3"/>
      <c r="P148" s="3"/>
      <c r="Q148" s="3"/>
      <c r="R148" s="5"/>
      <c r="S148" s="3"/>
      <c r="T148" s="3"/>
      <c r="U148" s="3"/>
      <c r="V148" s="3"/>
      <c r="W148" s="3"/>
      <c r="X148" s="3"/>
      <c r="Y148" s="3"/>
      <c r="Z148" s="3"/>
    </row>
    <row r="149" ht="12.75" customHeight="1">
      <c r="A149" s="3"/>
      <c r="B149" s="3"/>
      <c r="C149" s="3"/>
      <c r="D149" s="3"/>
      <c r="E149" s="3"/>
      <c r="F149" s="3"/>
      <c r="G149" s="3"/>
      <c r="H149" s="3"/>
      <c r="I149" s="3"/>
      <c r="J149" s="3"/>
      <c r="K149" s="3"/>
      <c r="L149" s="3"/>
      <c r="M149" s="3"/>
      <c r="N149" s="3"/>
      <c r="O149" s="3"/>
      <c r="P149" s="3"/>
      <c r="Q149" s="3"/>
      <c r="R149" s="5"/>
      <c r="S149" s="3"/>
      <c r="T149" s="3"/>
      <c r="U149" s="3"/>
      <c r="V149" s="3"/>
      <c r="W149" s="3"/>
      <c r="X149" s="3"/>
      <c r="Y149" s="3"/>
      <c r="Z149" s="3"/>
    </row>
    <row r="150" ht="12.75" customHeight="1">
      <c r="A150" s="3"/>
      <c r="B150" s="3"/>
      <c r="C150" s="3"/>
      <c r="D150" s="3"/>
      <c r="E150" s="3"/>
      <c r="F150" s="3"/>
      <c r="G150" s="3"/>
      <c r="H150" s="3"/>
      <c r="I150" s="3"/>
      <c r="J150" s="3"/>
      <c r="K150" s="3"/>
      <c r="L150" s="3"/>
      <c r="M150" s="3"/>
      <c r="N150" s="3"/>
      <c r="O150" s="3"/>
      <c r="P150" s="3"/>
      <c r="Q150" s="3"/>
      <c r="R150" s="5"/>
      <c r="S150" s="3"/>
      <c r="T150" s="3"/>
      <c r="U150" s="3"/>
      <c r="V150" s="3"/>
      <c r="W150" s="3"/>
      <c r="X150" s="3"/>
      <c r="Y150" s="3"/>
      <c r="Z150" s="3"/>
    </row>
    <row r="151" ht="12.75" customHeight="1">
      <c r="A151" s="3"/>
      <c r="B151" s="3"/>
      <c r="C151" s="3"/>
      <c r="D151" s="3"/>
      <c r="E151" s="3"/>
      <c r="F151" s="3"/>
      <c r="G151" s="3"/>
      <c r="H151" s="3"/>
      <c r="I151" s="3"/>
      <c r="J151" s="3"/>
      <c r="K151" s="3"/>
      <c r="L151" s="3"/>
      <c r="M151" s="3"/>
      <c r="N151" s="3"/>
      <c r="O151" s="3"/>
      <c r="P151" s="3"/>
      <c r="Q151" s="3"/>
      <c r="R151" s="5"/>
      <c r="S151" s="3"/>
      <c r="T151" s="3"/>
      <c r="U151" s="3"/>
      <c r="V151" s="3"/>
      <c r="W151" s="3"/>
      <c r="X151" s="3"/>
      <c r="Y151" s="3"/>
      <c r="Z151" s="3"/>
    </row>
    <row r="152" ht="12.75" customHeight="1">
      <c r="A152" s="3"/>
      <c r="B152" s="3"/>
      <c r="C152" s="3"/>
      <c r="D152" s="3"/>
      <c r="E152" s="3"/>
      <c r="F152" s="3"/>
      <c r="G152" s="3"/>
      <c r="H152" s="3"/>
      <c r="I152" s="3"/>
      <c r="J152" s="3"/>
      <c r="K152" s="3"/>
      <c r="L152" s="3"/>
      <c r="M152" s="3"/>
      <c r="N152" s="3"/>
      <c r="O152" s="3"/>
      <c r="P152" s="3"/>
      <c r="Q152" s="3"/>
      <c r="R152" s="5"/>
      <c r="S152" s="3"/>
      <c r="T152" s="3"/>
      <c r="U152" s="3"/>
      <c r="V152" s="3"/>
      <c r="W152" s="3"/>
      <c r="X152" s="3"/>
      <c r="Y152" s="3"/>
      <c r="Z152" s="3"/>
    </row>
    <row r="153" ht="12.75" customHeight="1">
      <c r="A153" s="3"/>
      <c r="B153" s="3"/>
      <c r="C153" s="3"/>
      <c r="D153" s="3"/>
      <c r="E153" s="3"/>
      <c r="F153" s="3"/>
      <c r="G153" s="3"/>
      <c r="H153" s="3"/>
      <c r="I153" s="3"/>
      <c r="J153" s="3"/>
      <c r="K153" s="3"/>
      <c r="L153" s="3"/>
      <c r="M153" s="3"/>
      <c r="N153" s="3"/>
      <c r="O153" s="3"/>
      <c r="P153" s="3"/>
      <c r="Q153" s="3"/>
      <c r="R153" s="5"/>
      <c r="S153" s="3"/>
      <c r="T153" s="3"/>
      <c r="U153" s="3"/>
      <c r="V153" s="3"/>
      <c r="W153" s="3"/>
      <c r="X153" s="3"/>
      <c r="Y153" s="3"/>
      <c r="Z153" s="3"/>
    </row>
    <row r="154" ht="12.75" customHeight="1">
      <c r="A154" s="3"/>
      <c r="B154" s="3"/>
      <c r="C154" s="3"/>
      <c r="D154" s="3"/>
      <c r="E154" s="3"/>
      <c r="F154" s="3"/>
      <c r="G154" s="3"/>
      <c r="H154" s="3"/>
      <c r="I154" s="3"/>
      <c r="J154" s="3"/>
      <c r="K154" s="3"/>
      <c r="L154" s="3"/>
      <c r="M154" s="3"/>
      <c r="N154" s="3"/>
      <c r="O154" s="3"/>
      <c r="P154" s="3"/>
      <c r="Q154" s="3"/>
      <c r="R154" s="5"/>
      <c r="S154" s="3"/>
      <c r="T154" s="3"/>
      <c r="U154" s="3"/>
      <c r="V154" s="3"/>
      <c r="W154" s="3"/>
      <c r="X154" s="3"/>
      <c r="Y154" s="3"/>
      <c r="Z154" s="3"/>
    </row>
    <row r="155" ht="12.75" customHeight="1">
      <c r="A155" s="3"/>
      <c r="B155" s="3"/>
      <c r="C155" s="3"/>
      <c r="D155" s="3"/>
      <c r="E155" s="3"/>
      <c r="F155" s="3"/>
      <c r="G155" s="3"/>
      <c r="H155" s="3"/>
      <c r="I155" s="3"/>
      <c r="J155" s="3"/>
      <c r="K155" s="3"/>
      <c r="L155" s="3"/>
      <c r="M155" s="3"/>
      <c r="N155" s="3"/>
      <c r="O155" s="3"/>
      <c r="P155" s="3"/>
      <c r="Q155" s="3"/>
      <c r="R155" s="5"/>
      <c r="S155" s="3"/>
      <c r="T155" s="3"/>
      <c r="U155" s="3"/>
      <c r="V155" s="3"/>
      <c r="W155" s="3"/>
      <c r="X155" s="3"/>
      <c r="Y155" s="3"/>
      <c r="Z155" s="3"/>
    </row>
    <row r="156" ht="12.75" customHeight="1">
      <c r="A156" s="3"/>
      <c r="B156" s="3"/>
      <c r="C156" s="3"/>
      <c r="D156" s="3"/>
      <c r="E156" s="3"/>
      <c r="F156" s="3"/>
      <c r="G156" s="3"/>
      <c r="H156" s="3"/>
      <c r="I156" s="3"/>
      <c r="J156" s="3"/>
      <c r="K156" s="3"/>
      <c r="L156" s="3"/>
      <c r="M156" s="3"/>
      <c r="N156" s="3"/>
      <c r="O156" s="3"/>
      <c r="P156" s="3"/>
      <c r="Q156" s="3"/>
      <c r="R156" s="5"/>
      <c r="S156" s="3"/>
      <c r="T156" s="3"/>
      <c r="U156" s="3"/>
      <c r="V156" s="3"/>
      <c r="W156" s="3"/>
      <c r="X156" s="3"/>
      <c r="Y156" s="3"/>
      <c r="Z156" s="3"/>
    </row>
    <row r="157" ht="12.75" customHeight="1">
      <c r="A157" s="3"/>
      <c r="B157" s="3"/>
      <c r="C157" s="3"/>
      <c r="D157" s="3"/>
      <c r="E157" s="3"/>
      <c r="F157" s="3"/>
      <c r="G157" s="3"/>
      <c r="H157" s="3"/>
      <c r="I157" s="3"/>
      <c r="J157" s="3"/>
      <c r="K157" s="3"/>
      <c r="L157" s="3"/>
      <c r="M157" s="3"/>
      <c r="N157" s="3"/>
      <c r="O157" s="3"/>
      <c r="P157" s="3"/>
      <c r="Q157" s="3"/>
      <c r="R157" s="5"/>
      <c r="S157" s="3"/>
      <c r="T157" s="3"/>
      <c r="U157" s="3"/>
      <c r="V157" s="3"/>
      <c r="W157" s="3"/>
      <c r="X157" s="3"/>
      <c r="Y157" s="3"/>
      <c r="Z157" s="3"/>
    </row>
    <row r="158" ht="12.75" customHeight="1">
      <c r="A158" s="3"/>
      <c r="B158" s="3"/>
      <c r="C158" s="3"/>
      <c r="D158" s="3"/>
      <c r="E158" s="3"/>
      <c r="F158" s="3"/>
      <c r="G158" s="3"/>
      <c r="H158" s="3"/>
      <c r="I158" s="3"/>
      <c r="J158" s="3"/>
      <c r="K158" s="3"/>
      <c r="L158" s="3"/>
      <c r="M158" s="3"/>
      <c r="N158" s="3"/>
      <c r="O158" s="3"/>
      <c r="P158" s="3"/>
      <c r="Q158" s="3"/>
      <c r="R158" s="5"/>
      <c r="S158" s="3"/>
      <c r="T158" s="3"/>
      <c r="U158" s="3"/>
      <c r="V158" s="3"/>
      <c r="W158" s="3"/>
      <c r="X158" s="3"/>
      <c r="Y158" s="3"/>
      <c r="Z158" s="3"/>
    </row>
    <row r="159" ht="12.75" customHeight="1">
      <c r="A159" s="3"/>
      <c r="B159" s="3"/>
      <c r="C159" s="3"/>
      <c r="D159" s="3"/>
      <c r="E159" s="3"/>
      <c r="F159" s="3"/>
      <c r="G159" s="3"/>
      <c r="H159" s="3"/>
      <c r="I159" s="3"/>
      <c r="J159" s="3"/>
      <c r="K159" s="3"/>
      <c r="L159" s="3"/>
      <c r="M159" s="3"/>
      <c r="N159" s="3"/>
      <c r="O159" s="3"/>
      <c r="P159" s="3"/>
      <c r="Q159" s="3"/>
      <c r="R159" s="5"/>
      <c r="S159" s="3"/>
      <c r="T159" s="3"/>
      <c r="U159" s="3"/>
      <c r="V159" s="3"/>
      <c r="W159" s="3"/>
      <c r="X159" s="3"/>
      <c r="Y159" s="3"/>
      <c r="Z159" s="3"/>
    </row>
    <row r="160" ht="12.75" customHeight="1">
      <c r="A160" s="3"/>
      <c r="B160" s="3"/>
      <c r="C160" s="3"/>
      <c r="D160" s="3"/>
      <c r="E160" s="3"/>
      <c r="F160" s="3"/>
      <c r="G160" s="3"/>
      <c r="H160" s="3"/>
      <c r="I160" s="3"/>
      <c r="J160" s="3"/>
      <c r="K160" s="3"/>
      <c r="L160" s="3"/>
      <c r="M160" s="3"/>
      <c r="N160" s="3"/>
      <c r="O160" s="3"/>
      <c r="P160" s="3"/>
      <c r="Q160" s="3"/>
      <c r="R160" s="5"/>
      <c r="S160" s="3"/>
      <c r="T160" s="3"/>
      <c r="U160" s="3"/>
      <c r="V160" s="3"/>
      <c r="W160" s="3"/>
      <c r="X160" s="3"/>
      <c r="Y160" s="3"/>
      <c r="Z160" s="3"/>
    </row>
    <row r="161" ht="12.75" customHeight="1">
      <c r="A161" s="3"/>
      <c r="B161" s="3"/>
      <c r="C161" s="3"/>
      <c r="D161" s="3"/>
      <c r="E161" s="3"/>
      <c r="F161" s="3"/>
      <c r="G161" s="3"/>
      <c r="H161" s="3"/>
      <c r="I161" s="3"/>
      <c r="J161" s="3"/>
      <c r="K161" s="3"/>
      <c r="L161" s="3"/>
      <c r="M161" s="3"/>
      <c r="N161" s="3"/>
      <c r="O161" s="3"/>
      <c r="P161" s="3"/>
      <c r="Q161" s="3"/>
      <c r="R161" s="5"/>
      <c r="S161" s="3"/>
      <c r="T161" s="3"/>
      <c r="U161" s="3"/>
      <c r="V161" s="3"/>
      <c r="W161" s="3"/>
      <c r="X161" s="3"/>
      <c r="Y161" s="3"/>
      <c r="Z161" s="3"/>
    </row>
    <row r="162" ht="12.75" customHeight="1">
      <c r="A162" s="3"/>
      <c r="B162" s="3"/>
      <c r="C162" s="3"/>
      <c r="D162" s="3"/>
      <c r="E162" s="3"/>
      <c r="F162" s="3"/>
      <c r="G162" s="3"/>
      <c r="H162" s="3"/>
      <c r="I162" s="3"/>
      <c r="J162" s="3"/>
      <c r="K162" s="3"/>
      <c r="L162" s="3"/>
      <c r="M162" s="3"/>
      <c r="N162" s="3"/>
      <c r="O162" s="3"/>
      <c r="P162" s="3"/>
      <c r="Q162" s="3"/>
      <c r="R162" s="5"/>
      <c r="S162" s="3"/>
      <c r="T162" s="3"/>
      <c r="U162" s="3"/>
      <c r="V162" s="3"/>
      <c r="W162" s="3"/>
      <c r="X162" s="3"/>
      <c r="Y162" s="3"/>
      <c r="Z162" s="3"/>
    </row>
    <row r="163" ht="12.75" customHeight="1">
      <c r="A163" s="3"/>
      <c r="B163" s="3"/>
      <c r="C163" s="3"/>
      <c r="D163" s="3"/>
      <c r="E163" s="3"/>
      <c r="F163" s="3"/>
      <c r="G163" s="3"/>
      <c r="H163" s="3"/>
      <c r="I163" s="3"/>
      <c r="J163" s="3"/>
      <c r="K163" s="3"/>
      <c r="L163" s="3"/>
      <c r="M163" s="3"/>
      <c r="N163" s="3"/>
      <c r="O163" s="3"/>
      <c r="P163" s="3"/>
      <c r="Q163" s="3"/>
      <c r="R163" s="5"/>
      <c r="S163" s="3"/>
      <c r="T163" s="3"/>
      <c r="U163" s="3"/>
      <c r="V163" s="3"/>
      <c r="W163" s="3"/>
      <c r="X163" s="3"/>
      <c r="Y163" s="3"/>
      <c r="Z163" s="3"/>
    </row>
    <row r="164" ht="12.75" customHeight="1">
      <c r="A164" s="3"/>
      <c r="B164" s="3"/>
      <c r="C164" s="3"/>
      <c r="D164" s="3"/>
      <c r="E164" s="3"/>
      <c r="F164" s="3"/>
      <c r="G164" s="3"/>
      <c r="H164" s="3"/>
      <c r="I164" s="3"/>
      <c r="J164" s="3"/>
      <c r="K164" s="3"/>
      <c r="L164" s="3"/>
      <c r="M164" s="3"/>
      <c r="N164" s="3"/>
      <c r="O164" s="3"/>
      <c r="P164" s="3"/>
      <c r="Q164" s="3"/>
      <c r="R164" s="5"/>
      <c r="S164" s="3"/>
      <c r="T164" s="3"/>
      <c r="U164" s="3"/>
      <c r="V164" s="3"/>
      <c r="W164" s="3"/>
      <c r="X164" s="3"/>
      <c r="Y164" s="3"/>
      <c r="Z164" s="3"/>
    </row>
    <row r="165" ht="12.75" customHeight="1">
      <c r="A165" s="3"/>
      <c r="B165" s="3"/>
      <c r="C165" s="3"/>
      <c r="D165" s="3"/>
      <c r="E165" s="3"/>
      <c r="F165" s="3"/>
      <c r="G165" s="3"/>
      <c r="H165" s="3"/>
      <c r="I165" s="3"/>
      <c r="J165" s="3"/>
      <c r="K165" s="3"/>
      <c r="L165" s="3"/>
      <c r="M165" s="3"/>
      <c r="N165" s="3"/>
      <c r="O165" s="3"/>
      <c r="P165" s="3"/>
      <c r="Q165" s="3"/>
      <c r="R165" s="5"/>
      <c r="S165" s="3"/>
      <c r="T165" s="3"/>
      <c r="U165" s="3"/>
      <c r="V165" s="3"/>
      <c r="W165" s="3"/>
      <c r="X165" s="3"/>
      <c r="Y165" s="3"/>
      <c r="Z165" s="3"/>
    </row>
    <row r="166" ht="12.75" customHeight="1">
      <c r="A166" s="3"/>
      <c r="B166" s="3"/>
      <c r="C166" s="3"/>
      <c r="D166" s="3"/>
      <c r="E166" s="3"/>
      <c r="F166" s="3"/>
      <c r="G166" s="3"/>
      <c r="H166" s="3"/>
      <c r="I166" s="3"/>
      <c r="J166" s="3"/>
      <c r="K166" s="3"/>
      <c r="L166" s="3"/>
      <c r="M166" s="3"/>
      <c r="N166" s="3"/>
      <c r="O166" s="3"/>
      <c r="P166" s="3"/>
      <c r="Q166" s="3"/>
      <c r="R166" s="5"/>
      <c r="S166" s="3"/>
      <c r="T166" s="3"/>
      <c r="U166" s="3"/>
      <c r="V166" s="3"/>
      <c r="W166" s="3"/>
      <c r="X166" s="3"/>
      <c r="Y166" s="3"/>
      <c r="Z166" s="3"/>
    </row>
    <row r="167" ht="12.75" customHeight="1">
      <c r="A167" s="3"/>
      <c r="B167" s="3"/>
      <c r="C167" s="3"/>
      <c r="D167" s="3"/>
      <c r="E167" s="3"/>
      <c r="F167" s="3"/>
      <c r="G167" s="3"/>
      <c r="H167" s="3"/>
      <c r="I167" s="3"/>
      <c r="J167" s="3"/>
      <c r="K167" s="3"/>
      <c r="L167" s="3"/>
      <c r="M167" s="3"/>
      <c r="N167" s="3"/>
      <c r="O167" s="3"/>
      <c r="P167" s="3"/>
      <c r="Q167" s="3"/>
      <c r="R167" s="5"/>
      <c r="S167" s="3"/>
      <c r="T167" s="3"/>
      <c r="U167" s="3"/>
      <c r="V167" s="3"/>
      <c r="W167" s="3"/>
      <c r="X167" s="3"/>
      <c r="Y167" s="3"/>
      <c r="Z167" s="3"/>
    </row>
    <row r="168" ht="12.75" customHeight="1">
      <c r="A168" s="3"/>
      <c r="B168" s="3"/>
      <c r="C168" s="3"/>
      <c r="D168" s="3"/>
      <c r="E168" s="3"/>
      <c r="F168" s="3"/>
      <c r="G168" s="3"/>
      <c r="H168" s="3"/>
      <c r="I168" s="3"/>
      <c r="J168" s="3"/>
      <c r="K168" s="3"/>
      <c r="L168" s="3"/>
      <c r="M168" s="3"/>
      <c r="N168" s="3"/>
      <c r="O168" s="3"/>
      <c r="P168" s="3"/>
      <c r="Q168" s="3"/>
      <c r="R168" s="5"/>
      <c r="S168" s="3"/>
      <c r="T168" s="3"/>
      <c r="U168" s="3"/>
      <c r="V168" s="3"/>
      <c r="W168" s="3"/>
      <c r="X168" s="3"/>
      <c r="Y168" s="3"/>
      <c r="Z168" s="3"/>
    </row>
    <row r="169" ht="12.75" customHeight="1">
      <c r="A169" s="3"/>
      <c r="B169" s="3"/>
      <c r="C169" s="3"/>
      <c r="D169" s="3"/>
      <c r="E169" s="3"/>
      <c r="F169" s="3"/>
      <c r="G169" s="3"/>
      <c r="H169" s="3"/>
      <c r="I169" s="3"/>
      <c r="J169" s="3"/>
      <c r="K169" s="3"/>
      <c r="L169" s="3"/>
      <c r="M169" s="3"/>
      <c r="N169" s="3"/>
      <c r="O169" s="3"/>
      <c r="P169" s="3"/>
      <c r="Q169" s="3"/>
      <c r="R169" s="5"/>
      <c r="S169" s="3"/>
      <c r="T169" s="3"/>
      <c r="U169" s="3"/>
      <c r="V169" s="3"/>
      <c r="W169" s="3"/>
      <c r="X169" s="3"/>
      <c r="Y169" s="3"/>
      <c r="Z169" s="3"/>
    </row>
    <row r="170" ht="12.75" customHeight="1">
      <c r="A170" s="3"/>
      <c r="B170" s="3"/>
      <c r="C170" s="3"/>
      <c r="D170" s="3"/>
      <c r="E170" s="3"/>
      <c r="F170" s="3"/>
      <c r="G170" s="3"/>
      <c r="H170" s="3"/>
      <c r="I170" s="3"/>
      <c r="J170" s="3"/>
      <c r="K170" s="3"/>
      <c r="L170" s="3"/>
      <c r="M170" s="3"/>
      <c r="N170" s="3"/>
      <c r="O170" s="3"/>
      <c r="P170" s="3"/>
      <c r="Q170" s="3"/>
      <c r="R170" s="5"/>
      <c r="S170" s="3"/>
      <c r="T170" s="3"/>
      <c r="U170" s="3"/>
      <c r="V170" s="3"/>
      <c r="W170" s="3"/>
      <c r="X170" s="3"/>
      <c r="Y170" s="3"/>
      <c r="Z170" s="3"/>
    </row>
    <row r="171" ht="12.75" customHeight="1">
      <c r="A171" s="3"/>
      <c r="B171" s="3"/>
      <c r="C171" s="3"/>
      <c r="D171" s="3"/>
      <c r="E171" s="3"/>
      <c r="F171" s="3"/>
      <c r="G171" s="3"/>
      <c r="H171" s="3"/>
      <c r="I171" s="3"/>
      <c r="J171" s="3"/>
      <c r="K171" s="3"/>
      <c r="L171" s="3"/>
      <c r="M171" s="3"/>
      <c r="N171" s="3"/>
      <c r="O171" s="3"/>
      <c r="P171" s="3"/>
      <c r="Q171" s="3"/>
      <c r="R171" s="5"/>
      <c r="S171" s="3"/>
      <c r="T171" s="3"/>
      <c r="U171" s="3"/>
      <c r="V171" s="3"/>
      <c r="W171" s="3"/>
      <c r="X171" s="3"/>
      <c r="Y171" s="3"/>
      <c r="Z171" s="3"/>
    </row>
    <row r="172" ht="12.75" customHeight="1">
      <c r="A172" s="3"/>
      <c r="B172" s="3"/>
      <c r="C172" s="3"/>
      <c r="D172" s="3"/>
      <c r="E172" s="3"/>
      <c r="F172" s="3"/>
      <c r="G172" s="3"/>
      <c r="H172" s="3"/>
      <c r="I172" s="3"/>
      <c r="J172" s="3"/>
      <c r="K172" s="3"/>
      <c r="L172" s="3"/>
      <c r="M172" s="3"/>
      <c r="N172" s="3"/>
      <c r="O172" s="3"/>
      <c r="P172" s="3"/>
      <c r="Q172" s="3"/>
      <c r="R172" s="5"/>
      <c r="S172" s="3"/>
      <c r="T172" s="3"/>
      <c r="U172" s="3"/>
      <c r="V172" s="3"/>
      <c r="W172" s="3"/>
      <c r="X172" s="3"/>
      <c r="Y172" s="3"/>
      <c r="Z172" s="3"/>
    </row>
    <row r="173" ht="12.75" customHeight="1">
      <c r="A173" s="3"/>
      <c r="B173" s="3"/>
      <c r="C173" s="3"/>
      <c r="D173" s="3"/>
      <c r="E173" s="3"/>
      <c r="F173" s="3"/>
      <c r="G173" s="3"/>
      <c r="H173" s="3"/>
      <c r="I173" s="3"/>
      <c r="J173" s="3"/>
      <c r="K173" s="3"/>
      <c r="L173" s="3"/>
      <c r="M173" s="3"/>
      <c r="N173" s="3"/>
      <c r="O173" s="3"/>
      <c r="P173" s="3"/>
      <c r="Q173" s="3"/>
      <c r="R173" s="5"/>
      <c r="S173" s="3"/>
      <c r="T173" s="3"/>
      <c r="U173" s="3"/>
      <c r="V173" s="3"/>
      <c r="W173" s="3"/>
      <c r="X173" s="3"/>
      <c r="Y173" s="3"/>
      <c r="Z173" s="3"/>
    </row>
    <row r="174" ht="12.75" customHeight="1">
      <c r="A174" s="3"/>
      <c r="B174" s="3"/>
      <c r="C174" s="3"/>
      <c r="D174" s="3"/>
      <c r="E174" s="3"/>
      <c r="F174" s="3"/>
      <c r="G174" s="3"/>
      <c r="H174" s="3"/>
      <c r="I174" s="3"/>
      <c r="J174" s="3"/>
      <c r="K174" s="3"/>
      <c r="L174" s="3"/>
      <c r="M174" s="3"/>
      <c r="N174" s="3"/>
      <c r="O174" s="3"/>
      <c r="P174" s="3"/>
      <c r="Q174" s="3"/>
      <c r="R174" s="5"/>
      <c r="S174" s="3"/>
      <c r="T174" s="3"/>
      <c r="U174" s="3"/>
      <c r="V174" s="3"/>
      <c r="W174" s="3"/>
      <c r="X174" s="3"/>
      <c r="Y174" s="3"/>
      <c r="Z174" s="3"/>
    </row>
    <row r="175" ht="12.75" customHeight="1">
      <c r="A175" s="3"/>
      <c r="B175" s="3"/>
      <c r="C175" s="3"/>
      <c r="D175" s="3"/>
      <c r="E175" s="3"/>
      <c r="F175" s="3"/>
      <c r="G175" s="3"/>
      <c r="H175" s="3"/>
      <c r="I175" s="3"/>
      <c r="J175" s="3"/>
      <c r="K175" s="3"/>
      <c r="L175" s="3"/>
      <c r="M175" s="3"/>
      <c r="N175" s="3"/>
      <c r="O175" s="3"/>
      <c r="P175" s="3"/>
      <c r="Q175" s="3"/>
      <c r="R175" s="5"/>
      <c r="S175" s="3"/>
      <c r="T175" s="3"/>
      <c r="U175" s="3"/>
      <c r="V175" s="3"/>
      <c r="W175" s="3"/>
      <c r="X175" s="3"/>
      <c r="Y175" s="3"/>
      <c r="Z175" s="3"/>
    </row>
    <row r="176" ht="12.75" customHeight="1">
      <c r="A176" s="3"/>
      <c r="B176" s="3"/>
      <c r="C176" s="3"/>
      <c r="D176" s="3"/>
      <c r="E176" s="3"/>
      <c r="F176" s="3"/>
      <c r="G176" s="3"/>
      <c r="H176" s="3"/>
      <c r="I176" s="3"/>
      <c r="J176" s="3"/>
      <c r="K176" s="3"/>
      <c r="L176" s="3"/>
      <c r="M176" s="3"/>
      <c r="N176" s="3"/>
      <c r="O176" s="3"/>
      <c r="P176" s="3"/>
      <c r="Q176" s="3"/>
      <c r="R176" s="5"/>
      <c r="S176" s="3"/>
      <c r="T176" s="3"/>
      <c r="U176" s="3"/>
      <c r="V176" s="3"/>
      <c r="W176" s="3"/>
      <c r="X176" s="3"/>
      <c r="Y176" s="3"/>
      <c r="Z176" s="3"/>
    </row>
    <row r="177" ht="12.75" customHeight="1">
      <c r="A177" s="3"/>
      <c r="B177" s="3"/>
      <c r="C177" s="3"/>
      <c r="D177" s="3"/>
      <c r="E177" s="3"/>
      <c r="F177" s="3"/>
      <c r="G177" s="3"/>
      <c r="H177" s="3"/>
      <c r="I177" s="3"/>
      <c r="J177" s="3"/>
      <c r="K177" s="3"/>
      <c r="L177" s="3"/>
      <c r="M177" s="3"/>
      <c r="N177" s="3"/>
      <c r="O177" s="3"/>
      <c r="P177" s="3"/>
      <c r="Q177" s="3"/>
      <c r="R177" s="5"/>
      <c r="S177" s="3"/>
      <c r="T177" s="3"/>
      <c r="U177" s="3"/>
      <c r="V177" s="3"/>
      <c r="W177" s="3"/>
      <c r="X177" s="3"/>
      <c r="Y177" s="3"/>
      <c r="Z177" s="3"/>
    </row>
    <row r="178" ht="12.75" customHeight="1">
      <c r="A178" s="3"/>
      <c r="B178" s="3"/>
      <c r="C178" s="3"/>
      <c r="D178" s="3"/>
      <c r="E178" s="3"/>
      <c r="F178" s="3"/>
      <c r="G178" s="3"/>
      <c r="H178" s="3"/>
      <c r="I178" s="3"/>
      <c r="J178" s="3"/>
      <c r="K178" s="3"/>
      <c r="L178" s="3"/>
      <c r="M178" s="3"/>
      <c r="N178" s="3"/>
      <c r="O178" s="3"/>
      <c r="P178" s="3"/>
      <c r="Q178" s="3"/>
      <c r="R178" s="5"/>
      <c r="S178" s="3"/>
      <c r="T178" s="3"/>
      <c r="U178" s="3"/>
      <c r="V178" s="3"/>
      <c r="W178" s="3"/>
      <c r="X178" s="3"/>
      <c r="Y178" s="3"/>
      <c r="Z178" s="3"/>
    </row>
    <row r="179" ht="12.75" customHeight="1">
      <c r="A179" s="3"/>
      <c r="B179" s="3"/>
      <c r="C179" s="3"/>
      <c r="D179" s="3"/>
      <c r="E179" s="3"/>
      <c r="F179" s="3"/>
      <c r="G179" s="3"/>
      <c r="H179" s="3"/>
      <c r="I179" s="3"/>
      <c r="J179" s="3"/>
      <c r="K179" s="3"/>
      <c r="L179" s="3"/>
      <c r="M179" s="3"/>
      <c r="N179" s="3"/>
      <c r="O179" s="3"/>
      <c r="P179" s="3"/>
      <c r="Q179" s="3"/>
      <c r="R179" s="5"/>
      <c r="S179" s="3"/>
      <c r="T179" s="3"/>
      <c r="U179" s="3"/>
      <c r="V179" s="3"/>
      <c r="W179" s="3"/>
      <c r="X179" s="3"/>
      <c r="Y179" s="3"/>
      <c r="Z179" s="3"/>
    </row>
    <row r="180" ht="12.75" customHeight="1">
      <c r="A180" s="3"/>
      <c r="B180" s="3"/>
      <c r="C180" s="3"/>
      <c r="D180" s="3"/>
      <c r="E180" s="3"/>
      <c r="F180" s="3"/>
      <c r="G180" s="3"/>
      <c r="H180" s="3"/>
      <c r="I180" s="3"/>
      <c r="J180" s="3"/>
      <c r="K180" s="3"/>
      <c r="L180" s="3"/>
      <c r="M180" s="3"/>
      <c r="N180" s="3"/>
      <c r="O180" s="3"/>
      <c r="P180" s="3"/>
      <c r="Q180" s="3"/>
      <c r="R180" s="5"/>
      <c r="S180" s="3"/>
      <c r="T180" s="3"/>
      <c r="U180" s="3"/>
      <c r="V180" s="3"/>
      <c r="W180" s="3"/>
      <c r="X180" s="3"/>
      <c r="Y180" s="3"/>
      <c r="Z180" s="3"/>
    </row>
    <row r="181" ht="12.75" customHeight="1">
      <c r="A181" s="3"/>
      <c r="B181" s="3"/>
      <c r="C181" s="3"/>
      <c r="D181" s="3"/>
      <c r="E181" s="3"/>
      <c r="F181" s="3"/>
      <c r="G181" s="3"/>
      <c r="H181" s="3"/>
      <c r="I181" s="3"/>
      <c r="J181" s="3"/>
      <c r="K181" s="3"/>
      <c r="L181" s="3"/>
      <c r="M181" s="3"/>
      <c r="N181" s="3"/>
      <c r="O181" s="3"/>
      <c r="P181" s="3"/>
      <c r="Q181" s="3"/>
      <c r="R181" s="5"/>
      <c r="S181" s="3"/>
      <c r="T181" s="3"/>
      <c r="U181" s="3"/>
      <c r="V181" s="3"/>
      <c r="W181" s="3"/>
      <c r="X181" s="3"/>
      <c r="Y181" s="3"/>
      <c r="Z181" s="3"/>
    </row>
    <row r="182" ht="12.75" customHeight="1">
      <c r="A182" s="3"/>
      <c r="B182" s="3"/>
      <c r="C182" s="3"/>
      <c r="D182" s="3"/>
      <c r="E182" s="3"/>
      <c r="F182" s="3"/>
      <c r="G182" s="3"/>
      <c r="H182" s="3"/>
      <c r="I182" s="3"/>
      <c r="J182" s="3"/>
      <c r="K182" s="3"/>
      <c r="L182" s="3"/>
      <c r="M182" s="3"/>
      <c r="N182" s="3"/>
      <c r="O182" s="3"/>
      <c r="P182" s="3"/>
      <c r="Q182" s="3"/>
      <c r="R182" s="5"/>
      <c r="S182" s="3"/>
      <c r="T182" s="3"/>
      <c r="U182" s="3"/>
      <c r="V182" s="3"/>
      <c r="W182" s="3"/>
      <c r="X182" s="3"/>
      <c r="Y182" s="3"/>
      <c r="Z182" s="3"/>
    </row>
    <row r="183" ht="12.75" customHeight="1">
      <c r="A183" s="3"/>
      <c r="B183" s="3"/>
      <c r="C183" s="3"/>
      <c r="D183" s="3"/>
      <c r="E183" s="3"/>
      <c r="F183" s="3"/>
      <c r="G183" s="3"/>
      <c r="H183" s="3"/>
      <c r="I183" s="3"/>
      <c r="J183" s="3"/>
      <c r="K183" s="3"/>
      <c r="L183" s="3"/>
      <c r="M183" s="3"/>
      <c r="N183" s="3"/>
      <c r="O183" s="3"/>
      <c r="P183" s="3"/>
      <c r="Q183" s="3"/>
      <c r="R183" s="5"/>
      <c r="S183" s="3"/>
      <c r="T183" s="3"/>
      <c r="U183" s="3"/>
      <c r="V183" s="3"/>
      <c r="W183" s="3"/>
      <c r="X183" s="3"/>
      <c r="Y183" s="3"/>
      <c r="Z183" s="3"/>
    </row>
    <row r="184" ht="12.75" customHeight="1">
      <c r="A184" s="3"/>
      <c r="B184" s="3"/>
      <c r="C184" s="3"/>
      <c r="D184" s="3"/>
      <c r="E184" s="3"/>
      <c r="F184" s="3"/>
      <c r="G184" s="3"/>
      <c r="H184" s="3"/>
      <c r="I184" s="3"/>
      <c r="J184" s="3"/>
      <c r="K184" s="3"/>
      <c r="L184" s="3"/>
      <c r="M184" s="3"/>
      <c r="N184" s="3"/>
      <c r="O184" s="3"/>
      <c r="P184" s="3"/>
      <c r="Q184" s="3"/>
      <c r="R184" s="5"/>
      <c r="S184" s="3"/>
      <c r="T184" s="3"/>
      <c r="U184" s="3"/>
      <c r="V184" s="3"/>
      <c r="W184" s="3"/>
      <c r="X184" s="3"/>
      <c r="Y184" s="3"/>
      <c r="Z184" s="3"/>
    </row>
    <row r="185" ht="12.75" customHeight="1">
      <c r="A185" s="3"/>
      <c r="B185" s="3"/>
      <c r="C185" s="3"/>
      <c r="D185" s="3"/>
      <c r="E185" s="3"/>
      <c r="F185" s="3"/>
      <c r="G185" s="3"/>
      <c r="H185" s="3"/>
      <c r="I185" s="3"/>
      <c r="J185" s="3"/>
      <c r="K185" s="3"/>
      <c r="L185" s="3"/>
      <c r="M185" s="3"/>
      <c r="N185" s="3"/>
      <c r="O185" s="3"/>
      <c r="P185" s="3"/>
      <c r="Q185" s="3"/>
      <c r="R185" s="5"/>
      <c r="S185" s="3"/>
      <c r="T185" s="3"/>
      <c r="U185" s="3"/>
      <c r="V185" s="3"/>
      <c r="W185" s="3"/>
      <c r="X185" s="3"/>
      <c r="Y185" s="3"/>
      <c r="Z185" s="3"/>
    </row>
    <row r="186" ht="12.75" customHeight="1">
      <c r="A186" s="3"/>
      <c r="B186" s="3"/>
      <c r="C186" s="3"/>
      <c r="D186" s="3"/>
      <c r="E186" s="3"/>
      <c r="F186" s="3"/>
      <c r="G186" s="3"/>
      <c r="H186" s="3"/>
      <c r="I186" s="3"/>
      <c r="J186" s="3"/>
      <c r="K186" s="3"/>
      <c r="L186" s="3"/>
      <c r="M186" s="3"/>
      <c r="N186" s="3"/>
      <c r="O186" s="3"/>
      <c r="P186" s="3"/>
      <c r="Q186" s="3"/>
      <c r="R186" s="5"/>
      <c r="S186" s="3"/>
      <c r="T186" s="3"/>
      <c r="U186" s="3"/>
      <c r="V186" s="3"/>
      <c r="W186" s="3"/>
      <c r="X186" s="3"/>
      <c r="Y186" s="3"/>
      <c r="Z186" s="3"/>
    </row>
    <row r="187" ht="12.75" customHeight="1">
      <c r="A187" s="3"/>
      <c r="B187" s="3"/>
      <c r="C187" s="3"/>
      <c r="D187" s="3"/>
      <c r="E187" s="3"/>
      <c r="F187" s="3"/>
      <c r="G187" s="3"/>
      <c r="H187" s="3"/>
      <c r="I187" s="3"/>
      <c r="J187" s="3"/>
      <c r="K187" s="3"/>
      <c r="L187" s="3"/>
      <c r="M187" s="3"/>
      <c r="N187" s="3"/>
      <c r="O187" s="3"/>
      <c r="P187" s="3"/>
      <c r="Q187" s="3"/>
      <c r="R187" s="5"/>
      <c r="S187" s="3"/>
      <c r="T187" s="3"/>
      <c r="U187" s="3"/>
      <c r="V187" s="3"/>
      <c r="W187" s="3"/>
      <c r="X187" s="3"/>
      <c r="Y187" s="3"/>
      <c r="Z187" s="3"/>
    </row>
    <row r="188" ht="12.75" customHeight="1">
      <c r="A188" s="3"/>
      <c r="B188" s="3"/>
      <c r="C188" s="3"/>
      <c r="D188" s="3"/>
      <c r="E188" s="3"/>
      <c r="F188" s="3"/>
      <c r="G188" s="3"/>
      <c r="H188" s="3"/>
      <c r="I188" s="3"/>
      <c r="J188" s="3"/>
      <c r="K188" s="3"/>
      <c r="L188" s="3"/>
      <c r="M188" s="3"/>
      <c r="N188" s="3"/>
      <c r="O188" s="3"/>
      <c r="P188" s="3"/>
      <c r="Q188" s="3"/>
      <c r="R188" s="5"/>
      <c r="S188" s="3"/>
      <c r="T188" s="3"/>
      <c r="U188" s="3"/>
      <c r="V188" s="3"/>
      <c r="W188" s="3"/>
      <c r="X188" s="3"/>
      <c r="Y188" s="3"/>
      <c r="Z188" s="3"/>
    </row>
    <row r="189" ht="12.75" customHeight="1">
      <c r="A189" s="3"/>
      <c r="B189" s="3"/>
      <c r="C189" s="3"/>
      <c r="D189" s="3"/>
      <c r="E189" s="3"/>
      <c r="F189" s="3"/>
      <c r="G189" s="3"/>
      <c r="H189" s="3"/>
      <c r="I189" s="3"/>
      <c r="J189" s="3"/>
      <c r="K189" s="3"/>
      <c r="L189" s="3"/>
      <c r="M189" s="3"/>
      <c r="N189" s="3"/>
      <c r="O189" s="3"/>
      <c r="P189" s="3"/>
      <c r="Q189" s="3"/>
      <c r="R189" s="5"/>
      <c r="S189" s="3"/>
      <c r="T189" s="3"/>
      <c r="U189" s="3"/>
      <c r="V189" s="3"/>
      <c r="W189" s="3"/>
      <c r="X189" s="3"/>
      <c r="Y189" s="3"/>
      <c r="Z189" s="3"/>
    </row>
    <row r="190" ht="12.75" customHeight="1">
      <c r="A190" s="3"/>
      <c r="B190" s="3"/>
      <c r="C190" s="3"/>
      <c r="D190" s="3"/>
      <c r="E190" s="3"/>
      <c r="F190" s="3"/>
      <c r="G190" s="3"/>
      <c r="H190" s="3"/>
      <c r="I190" s="3"/>
      <c r="J190" s="3"/>
      <c r="K190" s="3"/>
      <c r="L190" s="3"/>
      <c r="M190" s="3"/>
      <c r="N190" s="3"/>
      <c r="O190" s="3"/>
      <c r="P190" s="3"/>
      <c r="Q190" s="3"/>
      <c r="R190" s="5"/>
      <c r="S190" s="3"/>
      <c r="T190" s="3"/>
      <c r="U190" s="3"/>
      <c r="V190" s="3"/>
      <c r="W190" s="3"/>
      <c r="X190" s="3"/>
      <c r="Y190" s="3"/>
      <c r="Z190" s="3"/>
    </row>
    <row r="191" ht="12.75" customHeight="1">
      <c r="A191" s="3"/>
      <c r="B191" s="3"/>
      <c r="C191" s="3"/>
      <c r="D191" s="3"/>
      <c r="E191" s="3"/>
      <c r="F191" s="3"/>
      <c r="G191" s="3"/>
      <c r="H191" s="3"/>
      <c r="I191" s="3"/>
      <c r="J191" s="3"/>
      <c r="K191" s="3"/>
      <c r="L191" s="3"/>
      <c r="M191" s="3"/>
      <c r="N191" s="3"/>
      <c r="O191" s="3"/>
      <c r="P191" s="3"/>
      <c r="Q191" s="3"/>
      <c r="R191" s="5"/>
      <c r="S191" s="3"/>
      <c r="T191" s="3"/>
      <c r="U191" s="3"/>
      <c r="V191" s="3"/>
      <c r="W191" s="3"/>
      <c r="X191" s="3"/>
      <c r="Y191" s="3"/>
      <c r="Z191" s="3"/>
    </row>
    <row r="192" ht="12.75" customHeight="1">
      <c r="A192" s="3"/>
      <c r="B192" s="3"/>
      <c r="C192" s="3"/>
      <c r="D192" s="3"/>
      <c r="E192" s="3"/>
      <c r="F192" s="3"/>
      <c r="G192" s="3"/>
      <c r="H192" s="3"/>
      <c r="I192" s="3"/>
      <c r="J192" s="3"/>
      <c r="K192" s="3"/>
      <c r="L192" s="3"/>
      <c r="M192" s="3"/>
      <c r="N192" s="3"/>
      <c r="O192" s="3"/>
      <c r="P192" s="3"/>
      <c r="Q192" s="3"/>
      <c r="R192" s="5"/>
      <c r="S192" s="3"/>
      <c r="T192" s="3"/>
      <c r="U192" s="3"/>
      <c r="V192" s="3"/>
      <c r="W192" s="3"/>
      <c r="X192" s="3"/>
      <c r="Y192" s="3"/>
      <c r="Z192" s="3"/>
    </row>
    <row r="193" ht="12.75" customHeight="1">
      <c r="A193" s="3"/>
      <c r="B193" s="3"/>
      <c r="C193" s="3"/>
      <c r="D193" s="3"/>
      <c r="E193" s="3"/>
      <c r="F193" s="3"/>
      <c r="G193" s="3"/>
      <c r="H193" s="3"/>
      <c r="I193" s="3"/>
      <c r="J193" s="3"/>
      <c r="K193" s="3"/>
      <c r="L193" s="3"/>
      <c r="M193" s="3"/>
      <c r="N193" s="3"/>
      <c r="O193" s="3"/>
      <c r="P193" s="3"/>
      <c r="Q193" s="3"/>
      <c r="R193" s="5"/>
      <c r="S193" s="3"/>
      <c r="T193" s="3"/>
      <c r="U193" s="3"/>
      <c r="V193" s="3"/>
      <c r="W193" s="3"/>
      <c r="X193" s="3"/>
      <c r="Y193" s="3"/>
      <c r="Z193" s="3"/>
    </row>
    <row r="194" ht="12.75" customHeight="1">
      <c r="A194" s="3"/>
      <c r="B194" s="3"/>
      <c r="C194" s="3"/>
      <c r="D194" s="3"/>
      <c r="E194" s="3"/>
      <c r="F194" s="3"/>
      <c r="G194" s="3"/>
      <c r="H194" s="3"/>
      <c r="I194" s="3"/>
      <c r="J194" s="3"/>
      <c r="K194" s="3"/>
      <c r="L194" s="3"/>
      <c r="M194" s="3"/>
      <c r="N194" s="3"/>
      <c r="O194" s="3"/>
      <c r="P194" s="3"/>
      <c r="Q194" s="3"/>
      <c r="R194" s="5"/>
      <c r="S194" s="3"/>
      <c r="T194" s="3"/>
      <c r="U194" s="3"/>
      <c r="V194" s="3"/>
      <c r="W194" s="3"/>
      <c r="X194" s="3"/>
      <c r="Y194" s="3"/>
      <c r="Z194" s="3"/>
    </row>
    <row r="195" ht="12.75" customHeight="1">
      <c r="A195" s="3"/>
      <c r="B195" s="3"/>
      <c r="C195" s="3"/>
      <c r="D195" s="3"/>
      <c r="E195" s="3"/>
      <c r="F195" s="3"/>
      <c r="G195" s="3"/>
      <c r="H195" s="3"/>
      <c r="I195" s="3"/>
      <c r="J195" s="3"/>
      <c r="K195" s="3"/>
      <c r="L195" s="3"/>
      <c r="M195" s="3"/>
      <c r="N195" s="3"/>
      <c r="O195" s="3"/>
      <c r="P195" s="3"/>
      <c r="Q195" s="3"/>
      <c r="R195" s="5"/>
      <c r="S195" s="3"/>
      <c r="T195" s="3"/>
      <c r="U195" s="3"/>
      <c r="V195" s="3"/>
      <c r="W195" s="3"/>
      <c r="X195" s="3"/>
      <c r="Y195" s="3"/>
      <c r="Z195" s="3"/>
    </row>
    <row r="196" ht="12.75" customHeight="1">
      <c r="A196" s="3"/>
      <c r="B196" s="3"/>
      <c r="C196" s="3"/>
      <c r="D196" s="3"/>
      <c r="E196" s="3"/>
      <c r="F196" s="3"/>
      <c r="G196" s="3"/>
      <c r="H196" s="3"/>
      <c r="I196" s="3"/>
      <c r="J196" s="3"/>
      <c r="K196" s="3"/>
      <c r="L196" s="3"/>
      <c r="M196" s="3"/>
      <c r="N196" s="3"/>
      <c r="O196" s="3"/>
      <c r="P196" s="3"/>
      <c r="Q196" s="3"/>
      <c r="R196" s="5"/>
      <c r="S196" s="3"/>
      <c r="T196" s="3"/>
      <c r="U196" s="3"/>
      <c r="V196" s="3"/>
      <c r="W196" s="3"/>
      <c r="X196" s="3"/>
      <c r="Y196" s="3"/>
      <c r="Z196" s="3"/>
    </row>
    <row r="197" ht="12.75" customHeight="1">
      <c r="A197" s="3"/>
      <c r="B197" s="3"/>
      <c r="C197" s="3"/>
      <c r="D197" s="3"/>
      <c r="E197" s="3"/>
      <c r="F197" s="3"/>
      <c r="G197" s="3"/>
      <c r="H197" s="3"/>
      <c r="I197" s="3"/>
      <c r="J197" s="3"/>
      <c r="K197" s="3"/>
      <c r="L197" s="3"/>
      <c r="M197" s="3"/>
      <c r="N197" s="3"/>
      <c r="O197" s="3"/>
      <c r="P197" s="3"/>
      <c r="Q197" s="3"/>
      <c r="R197" s="5"/>
      <c r="S197" s="3"/>
      <c r="T197" s="3"/>
      <c r="U197" s="3"/>
      <c r="V197" s="3"/>
      <c r="W197" s="3"/>
      <c r="X197" s="3"/>
      <c r="Y197" s="3"/>
      <c r="Z197" s="3"/>
    </row>
    <row r="198" ht="12.75" customHeight="1">
      <c r="A198" s="3"/>
      <c r="B198" s="3"/>
      <c r="C198" s="3"/>
      <c r="D198" s="3"/>
      <c r="E198" s="3"/>
      <c r="F198" s="3"/>
      <c r="G198" s="3"/>
      <c r="H198" s="3"/>
      <c r="I198" s="3"/>
      <c r="J198" s="3"/>
      <c r="K198" s="3"/>
      <c r="L198" s="3"/>
      <c r="M198" s="3"/>
      <c r="N198" s="3"/>
      <c r="O198" s="3"/>
      <c r="P198" s="3"/>
      <c r="Q198" s="3"/>
      <c r="R198" s="5"/>
      <c r="S198" s="3"/>
      <c r="T198" s="3"/>
      <c r="U198" s="3"/>
      <c r="V198" s="3"/>
      <c r="W198" s="3"/>
      <c r="X198" s="3"/>
      <c r="Y198" s="3"/>
      <c r="Z198" s="3"/>
    </row>
    <row r="199" ht="12.75" customHeight="1">
      <c r="A199" s="3"/>
      <c r="B199" s="3"/>
      <c r="C199" s="3"/>
      <c r="D199" s="3"/>
      <c r="E199" s="3"/>
      <c r="F199" s="3"/>
      <c r="G199" s="3"/>
      <c r="H199" s="3"/>
      <c r="I199" s="3"/>
      <c r="J199" s="3"/>
      <c r="K199" s="3"/>
      <c r="L199" s="3"/>
      <c r="M199" s="3"/>
      <c r="N199" s="3"/>
      <c r="O199" s="3"/>
      <c r="P199" s="3"/>
      <c r="Q199" s="3"/>
      <c r="R199" s="5"/>
      <c r="S199" s="3"/>
      <c r="T199" s="3"/>
      <c r="U199" s="3"/>
      <c r="V199" s="3"/>
      <c r="W199" s="3"/>
      <c r="X199" s="3"/>
      <c r="Y199" s="3"/>
      <c r="Z199" s="3"/>
    </row>
    <row r="200" ht="12.75" customHeight="1">
      <c r="A200" s="3"/>
      <c r="B200" s="3"/>
      <c r="C200" s="3"/>
      <c r="D200" s="3"/>
      <c r="E200" s="3"/>
      <c r="F200" s="3"/>
      <c r="G200" s="3"/>
      <c r="H200" s="3"/>
      <c r="I200" s="3"/>
      <c r="J200" s="3"/>
      <c r="K200" s="3"/>
      <c r="L200" s="3"/>
      <c r="M200" s="3"/>
      <c r="N200" s="3"/>
      <c r="O200" s="3"/>
      <c r="P200" s="3"/>
      <c r="Q200" s="3"/>
      <c r="R200" s="5"/>
      <c r="S200" s="3"/>
      <c r="T200" s="3"/>
      <c r="U200" s="3"/>
      <c r="V200" s="3"/>
      <c r="W200" s="3"/>
      <c r="X200" s="3"/>
      <c r="Y200" s="3"/>
      <c r="Z200" s="3"/>
    </row>
    <row r="201" ht="12.75" customHeight="1">
      <c r="A201" s="3"/>
      <c r="B201" s="3"/>
      <c r="C201" s="3"/>
      <c r="D201" s="3"/>
      <c r="E201" s="3"/>
      <c r="F201" s="3"/>
      <c r="G201" s="3"/>
      <c r="H201" s="3"/>
      <c r="I201" s="3"/>
      <c r="J201" s="3"/>
      <c r="K201" s="3"/>
      <c r="L201" s="3"/>
      <c r="M201" s="3"/>
      <c r="N201" s="3"/>
      <c r="O201" s="3"/>
      <c r="P201" s="3"/>
      <c r="Q201" s="3"/>
      <c r="R201" s="5"/>
      <c r="S201" s="3"/>
      <c r="T201" s="3"/>
      <c r="U201" s="3"/>
      <c r="V201" s="3"/>
      <c r="W201" s="3"/>
      <c r="X201" s="3"/>
      <c r="Y201" s="3"/>
      <c r="Z201" s="3"/>
    </row>
    <row r="202" ht="12.75" customHeight="1">
      <c r="A202" s="3"/>
      <c r="B202" s="3"/>
      <c r="C202" s="3"/>
      <c r="D202" s="3"/>
      <c r="E202" s="3"/>
      <c r="F202" s="3"/>
      <c r="G202" s="3"/>
      <c r="H202" s="3"/>
      <c r="I202" s="3"/>
      <c r="J202" s="3"/>
      <c r="K202" s="3"/>
      <c r="L202" s="3"/>
      <c r="M202" s="3"/>
      <c r="N202" s="3"/>
      <c r="O202" s="3"/>
      <c r="P202" s="3"/>
      <c r="Q202" s="3"/>
      <c r="R202" s="5"/>
      <c r="S202" s="3"/>
      <c r="T202" s="3"/>
      <c r="U202" s="3"/>
      <c r="V202" s="3"/>
      <c r="W202" s="3"/>
      <c r="X202" s="3"/>
      <c r="Y202" s="3"/>
      <c r="Z202" s="3"/>
    </row>
    <row r="203" ht="12.75" customHeight="1">
      <c r="A203" s="3"/>
      <c r="B203" s="3"/>
      <c r="C203" s="3"/>
      <c r="D203" s="3"/>
      <c r="E203" s="3"/>
      <c r="F203" s="3"/>
      <c r="G203" s="3"/>
      <c r="H203" s="3"/>
      <c r="I203" s="3"/>
      <c r="J203" s="3"/>
      <c r="K203" s="3"/>
      <c r="L203" s="3"/>
      <c r="M203" s="3"/>
      <c r="N203" s="3"/>
      <c r="O203" s="3"/>
      <c r="P203" s="3"/>
      <c r="Q203" s="3"/>
      <c r="R203" s="5"/>
      <c r="S203" s="3"/>
      <c r="T203" s="3"/>
      <c r="U203" s="3"/>
      <c r="V203" s="3"/>
      <c r="W203" s="3"/>
      <c r="X203" s="3"/>
      <c r="Y203" s="3"/>
      <c r="Z203" s="3"/>
    </row>
    <row r="204" ht="12.75" customHeight="1">
      <c r="A204" s="3"/>
      <c r="B204" s="3"/>
      <c r="C204" s="3"/>
      <c r="D204" s="3"/>
      <c r="E204" s="3"/>
      <c r="F204" s="3"/>
      <c r="G204" s="3"/>
      <c r="H204" s="3"/>
      <c r="I204" s="3"/>
      <c r="J204" s="3"/>
      <c r="K204" s="3"/>
      <c r="L204" s="3"/>
      <c r="M204" s="3"/>
      <c r="N204" s="3"/>
      <c r="O204" s="3"/>
      <c r="P204" s="3"/>
      <c r="Q204" s="3"/>
      <c r="R204" s="5"/>
      <c r="S204" s="3"/>
      <c r="T204" s="3"/>
      <c r="U204" s="3"/>
      <c r="V204" s="3"/>
      <c r="W204" s="3"/>
      <c r="X204" s="3"/>
      <c r="Y204" s="3"/>
      <c r="Z204" s="3"/>
    </row>
    <row r="205" ht="12.75" customHeight="1">
      <c r="A205" s="3"/>
      <c r="B205" s="3"/>
      <c r="C205" s="3"/>
      <c r="D205" s="3"/>
      <c r="E205" s="3"/>
      <c r="F205" s="3"/>
      <c r="G205" s="3"/>
      <c r="H205" s="3"/>
      <c r="I205" s="3"/>
      <c r="J205" s="3"/>
      <c r="K205" s="3"/>
      <c r="L205" s="3"/>
      <c r="M205" s="3"/>
      <c r="N205" s="3"/>
      <c r="O205" s="3"/>
      <c r="P205" s="3"/>
      <c r="Q205" s="3"/>
      <c r="R205" s="5"/>
      <c r="S205" s="3"/>
      <c r="T205" s="3"/>
      <c r="U205" s="3"/>
      <c r="V205" s="3"/>
      <c r="W205" s="3"/>
      <c r="X205" s="3"/>
      <c r="Y205" s="3"/>
      <c r="Z205" s="3"/>
    </row>
    <row r="206" ht="12.75" customHeight="1">
      <c r="A206" s="3"/>
      <c r="B206" s="3"/>
      <c r="C206" s="3"/>
      <c r="D206" s="3"/>
      <c r="E206" s="3"/>
      <c r="F206" s="3"/>
      <c r="G206" s="3"/>
      <c r="H206" s="3"/>
      <c r="I206" s="3"/>
      <c r="J206" s="3"/>
      <c r="K206" s="3"/>
      <c r="L206" s="3"/>
      <c r="M206" s="3"/>
      <c r="N206" s="3"/>
      <c r="O206" s="3"/>
      <c r="P206" s="3"/>
      <c r="Q206" s="3"/>
      <c r="R206" s="5"/>
      <c r="S206" s="3"/>
      <c r="T206" s="3"/>
      <c r="U206" s="3"/>
      <c r="V206" s="3"/>
      <c r="W206" s="3"/>
      <c r="X206" s="3"/>
      <c r="Y206" s="3"/>
      <c r="Z206" s="3"/>
    </row>
    <row r="207" ht="12.75" customHeight="1">
      <c r="A207" s="3"/>
      <c r="B207" s="3"/>
      <c r="C207" s="3"/>
      <c r="D207" s="3"/>
      <c r="E207" s="3"/>
      <c r="F207" s="3"/>
      <c r="G207" s="3"/>
      <c r="H207" s="3"/>
      <c r="I207" s="3"/>
      <c r="J207" s="3"/>
      <c r="K207" s="3"/>
      <c r="L207" s="3"/>
      <c r="M207" s="3"/>
      <c r="N207" s="3"/>
      <c r="O207" s="3"/>
      <c r="P207" s="3"/>
      <c r="Q207" s="3"/>
      <c r="R207" s="5"/>
      <c r="S207" s="3"/>
      <c r="T207" s="3"/>
      <c r="U207" s="3"/>
      <c r="V207" s="3"/>
      <c r="W207" s="3"/>
      <c r="X207" s="3"/>
      <c r="Y207" s="3"/>
      <c r="Z207" s="3"/>
    </row>
    <row r="208" ht="12.75" customHeight="1">
      <c r="A208" s="3"/>
      <c r="B208" s="3"/>
      <c r="C208" s="3"/>
      <c r="D208" s="3"/>
      <c r="E208" s="3"/>
      <c r="F208" s="3"/>
      <c r="G208" s="3"/>
      <c r="H208" s="3"/>
      <c r="I208" s="3"/>
      <c r="J208" s="3"/>
      <c r="K208" s="3"/>
      <c r="L208" s="3"/>
      <c r="M208" s="3"/>
      <c r="N208" s="3"/>
      <c r="O208" s="3"/>
      <c r="P208" s="3"/>
      <c r="Q208" s="3"/>
      <c r="R208" s="5"/>
      <c r="S208" s="3"/>
      <c r="T208" s="3"/>
      <c r="U208" s="3"/>
      <c r="V208" s="3"/>
      <c r="W208" s="3"/>
      <c r="X208" s="3"/>
      <c r="Y208" s="3"/>
      <c r="Z208" s="3"/>
    </row>
    <row r="209" ht="12.75" customHeight="1">
      <c r="A209" s="3"/>
      <c r="B209" s="3"/>
      <c r="C209" s="3"/>
      <c r="D209" s="3"/>
      <c r="E209" s="3"/>
      <c r="F209" s="3"/>
      <c r="G209" s="3"/>
      <c r="H209" s="3"/>
      <c r="I209" s="3"/>
      <c r="J209" s="3"/>
      <c r="K209" s="3"/>
      <c r="L209" s="3"/>
      <c r="M209" s="3"/>
      <c r="N209" s="3"/>
      <c r="O209" s="3"/>
      <c r="P209" s="3"/>
      <c r="Q209" s="3"/>
      <c r="R209" s="5"/>
      <c r="S209" s="3"/>
      <c r="T209" s="3"/>
      <c r="U209" s="3"/>
      <c r="V209" s="3"/>
      <c r="W209" s="3"/>
      <c r="X209" s="3"/>
      <c r="Y209" s="3"/>
      <c r="Z209" s="3"/>
    </row>
    <row r="210" ht="12.75" customHeight="1">
      <c r="A210" s="3"/>
      <c r="B210" s="3"/>
      <c r="C210" s="3"/>
      <c r="D210" s="3"/>
      <c r="E210" s="3"/>
      <c r="F210" s="3"/>
      <c r="G210" s="3"/>
      <c r="H210" s="3"/>
      <c r="I210" s="3"/>
      <c r="J210" s="3"/>
      <c r="K210" s="3"/>
      <c r="L210" s="3"/>
      <c r="M210" s="3"/>
      <c r="N210" s="3"/>
      <c r="O210" s="3"/>
      <c r="P210" s="3"/>
      <c r="Q210" s="3"/>
      <c r="R210" s="5"/>
      <c r="S210" s="3"/>
      <c r="T210" s="3"/>
      <c r="U210" s="3"/>
      <c r="V210" s="3"/>
      <c r="W210" s="3"/>
      <c r="X210" s="3"/>
      <c r="Y210" s="3"/>
      <c r="Z210" s="3"/>
    </row>
    <row r="211" ht="12.75" customHeight="1">
      <c r="A211" s="3"/>
      <c r="B211" s="3"/>
      <c r="C211" s="3"/>
      <c r="D211" s="3"/>
      <c r="E211" s="3"/>
      <c r="F211" s="3"/>
      <c r="G211" s="3"/>
      <c r="H211" s="3"/>
      <c r="I211" s="3"/>
      <c r="J211" s="3"/>
      <c r="K211" s="3"/>
      <c r="L211" s="3"/>
      <c r="M211" s="3"/>
      <c r="N211" s="3"/>
      <c r="O211" s="3"/>
      <c r="P211" s="3"/>
      <c r="Q211" s="3"/>
      <c r="R211" s="5"/>
      <c r="S211" s="3"/>
      <c r="T211" s="3"/>
      <c r="U211" s="3"/>
      <c r="V211" s="3"/>
      <c r="W211" s="3"/>
      <c r="X211" s="3"/>
      <c r="Y211" s="3"/>
      <c r="Z211" s="3"/>
    </row>
    <row r="212" ht="12.75" customHeight="1">
      <c r="A212" s="3"/>
      <c r="B212" s="3"/>
      <c r="C212" s="3"/>
      <c r="D212" s="3"/>
      <c r="E212" s="3"/>
      <c r="F212" s="3"/>
      <c r="G212" s="3"/>
      <c r="H212" s="3"/>
      <c r="I212" s="3"/>
      <c r="J212" s="3"/>
      <c r="K212" s="3"/>
      <c r="L212" s="3"/>
      <c r="M212" s="3"/>
      <c r="N212" s="3"/>
      <c r="O212" s="3"/>
      <c r="P212" s="3"/>
      <c r="Q212" s="3"/>
      <c r="R212" s="5"/>
      <c r="S212" s="3"/>
      <c r="T212" s="3"/>
      <c r="U212" s="3"/>
      <c r="V212" s="3"/>
      <c r="W212" s="3"/>
      <c r="X212" s="3"/>
      <c r="Y212" s="3"/>
      <c r="Z212" s="3"/>
    </row>
    <row r="213" ht="12.75" customHeight="1">
      <c r="A213" s="3"/>
      <c r="B213" s="3"/>
      <c r="C213" s="3"/>
      <c r="D213" s="3"/>
      <c r="E213" s="3"/>
      <c r="F213" s="3"/>
      <c r="G213" s="3"/>
      <c r="H213" s="3"/>
      <c r="I213" s="3"/>
      <c r="J213" s="3"/>
      <c r="K213" s="3"/>
      <c r="L213" s="3"/>
      <c r="M213" s="3"/>
      <c r="N213" s="3"/>
      <c r="O213" s="3"/>
      <c r="P213" s="3"/>
      <c r="Q213" s="3"/>
      <c r="R213" s="5"/>
      <c r="S213" s="3"/>
      <c r="T213" s="3"/>
      <c r="U213" s="3"/>
      <c r="V213" s="3"/>
      <c r="W213" s="3"/>
      <c r="X213" s="3"/>
      <c r="Y213" s="3"/>
      <c r="Z213" s="3"/>
    </row>
    <row r="214" ht="12.75" customHeight="1">
      <c r="A214" s="3"/>
      <c r="B214" s="3"/>
      <c r="C214" s="3"/>
      <c r="D214" s="3"/>
      <c r="E214" s="3"/>
      <c r="F214" s="3"/>
      <c r="G214" s="3"/>
      <c r="H214" s="3"/>
      <c r="I214" s="3"/>
      <c r="J214" s="3"/>
      <c r="K214" s="3"/>
      <c r="L214" s="3"/>
      <c r="M214" s="3"/>
      <c r="N214" s="3"/>
      <c r="O214" s="3"/>
      <c r="P214" s="3"/>
      <c r="Q214" s="3"/>
      <c r="R214" s="5"/>
      <c r="S214" s="3"/>
      <c r="T214" s="3"/>
      <c r="U214" s="3"/>
      <c r="V214" s="3"/>
      <c r="W214" s="3"/>
      <c r="X214" s="3"/>
      <c r="Y214" s="3"/>
      <c r="Z214" s="3"/>
    </row>
    <row r="215" ht="12.75" customHeight="1">
      <c r="A215" s="3"/>
      <c r="B215" s="3"/>
      <c r="C215" s="3"/>
      <c r="D215" s="3"/>
      <c r="E215" s="3"/>
      <c r="F215" s="3"/>
      <c r="G215" s="3"/>
      <c r="H215" s="3"/>
      <c r="I215" s="3"/>
      <c r="J215" s="3"/>
      <c r="K215" s="3"/>
      <c r="L215" s="3"/>
      <c r="M215" s="3"/>
      <c r="N215" s="3"/>
      <c r="O215" s="3"/>
      <c r="P215" s="3"/>
      <c r="Q215" s="3"/>
      <c r="R215" s="5"/>
      <c r="S215" s="3"/>
      <c r="T215" s="3"/>
      <c r="U215" s="3"/>
      <c r="V215" s="3"/>
      <c r="W215" s="3"/>
      <c r="X215" s="3"/>
      <c r="Y215" s="3"/>
      <c r="Z215" s="3"/>
    </row>
    <row r="216" ht="12.75" customHeight="1">
      <c r="A216" s="3"/>
      <c r="B216" s="3"/>
      <c r="C216" s="3"/>
      <c r="D216" s="3"/>
      <c r="E216" s="3"/>
      <c r="F216" s="3"/>
      <c r="G216" s="3"/>
      <c r="H216" s="3"/>
      <c r="I216" s="3"/>
      <c r="J216" s="3"/>
      <c r="K216" s="3"/>
      <c r="L216" s="3"/>
      <c r="M216" s="3"/>
      <c r="N216" s="3"/>
      <c r="O216" s="3"/>
      <c r="P216" s="3"/>
      <c r="Q216" s="3"/>
      <c r="R216" s="5"/>
      <c r="S216" s="3"/>
      <c r="T216" s="3"/>
      <c r="U216" s="3"/>
      <c r="V216" s="3"/>
      <c r="W216" s="3"/>
      <c r="X216" s="3"/>
      <c r="Y216" s="3"/>
      <c r="Z216" s="3"/>
    </row>
    <row r="217" ht="12.75" customHeight="1">
      <c r="A217" s="3"/>
      <c r="B217" s="3"/>
      <c r="C217" s="3"/>
      <c r="D217" s="3"/>
      <c r="E217" s="3"/>
      <c r="F217" s="3"/>
      <c r="G217" s="3"/>
      <c r="H217" s="3"/>
      <c r="I217" s="3"/>
      <c r="J217" s="3"/>
      <c r="K217" s="3"/>
      <c r="L217" s="3"/>
      <c r="M217" s="3"/>
      <c r="N217" s="3"/>
      <c r="O217" s="3"/>
      <c r="P217" s="3"/>
      <c r="Q217" s="3"/>
      <c r="R217" s="5"/>
      <c r="S217" s="3"/>
      <c r="T217" s="3"/>
      <c r="U217" s="3"/>
      <c r="V217" s="3"/>
      <c r="W217" s="3"/>
      <c r="X217" s="3"/>
      <c r="Y217" s="3"/>
      <c r="Z217" s="3"/>
    </row>
    <row r="218" ht="12.75" customHeight="1">
      <c r="A218" s="3"/>
      <c r="B218" s="3"/>
      <c r="C218" s="3"/>
      <c r="D218" s="3"/>
      <c r="E218" s="3"/>
      <c r="F218" s="3"/>
      <c r="G218" s="3"/>
      <c r="H218" s="3"/>
      <c r="I218" s="3"/>
      <c r="J218" s="3"/>
      <c r="K218" s="3"/>
      <c r="L218" s="3"/>
      <c r="M218" s="3"/>
      <c r="N218" s="3"/>
      <c r="O218" s="3"/>
      <c r="P218" s="3"/>
      <c r="Q218" s="3"/>
      <c r="R218" s="5"/>
      <c r="S218" s="3"/>
      <c r="T218" s="3"/>
      <c r="U218" s="3"/>
      <c r="V218" s="3"/>
      <c r="W218" s="3"/>
      <c r="X218" s="3"/>
      <c r="Y218" s="3"/>
      <c r="Z218" s="3"/>
    </row>
    <row r="219" ht="12.75" customHeight="1">
      <c r="A219" s="3"/>
      <c r="B219" s="3"/>
      <c r="C219" s="3"/>
      <c r="D219" s="3"/>
      <c r="E219" s="3"/>
      <c r="F219" s="3"/>
      <c r="G219" s="3"/>
      <c r="H219" s="3"/>
      <c r="I219" s="3"/>
      <c r="J219" s="3"/>
      <c r="K219" s="3"/>
      <c r="L219" s="3"/>
      <c r="M219" s="3"/>
      <c r="N219" s="3"/>
      <c r="O219" s="3"/>
      <c r="P219" s="3"/>
      <c r="Q219" s="3"/>
      <c r="R219" s="5"/>
      <c r="S219" s="3"/>
      <c r="T219" s="3"/>
      <c r="U219" s="3"/>
      <c r="V219" s="3"/>
      <c r="W219" s="3"/>
      <c r="X219" s="3"/>
      <c r="Y219" s="3"/>
      <c r="Z219" s="3"/>
    </row>
    <row r="220" ht="12.75" customHeight="1">
      <c r="A220" s="3"/>
      <c r="B220" s="3"/>
      <c r="C220" s="3"/>
      <c r="D220" s="3"/>
      <c r="E220" s="3"/>
      <c r="F220" s="3"/>
      <c r="G220" s="3"/>
      <c r="H220" s="3"/>
      <c r="I220" s="3"/>
      <c r="J220" s="3"/>
      <c r="K220" s="3"/>
      <c r="L220" s="3"/>
      <c r="M220" s="3"/>
      <c r="N220" s="3"/>
      <c r="O220" s="3"/>
      <c r="P220" s="3"/>
      <c r="Q220" s="3"/>
      <c r="R220" s="5"/>
      <c r="S220" s="3"/>
      <c r="T220" s="3"/>
      <c r="U220" s="3"/>
      <c r="V220" s="3"/>
      <c r="W220" s="3"/>
      <c r="X220" s="3"/>
      <c r="Y220" s="3"/>
      <c r="Z220" s="3"/>
    </row>
    <row r="221" ht="12.75" customHeight="1">
      <c r="A221" s="3"/>
      <c r="B221" s="3"/>
      <c r="C221" s="3"/>
      <c r="D221" s="3"/>
      <c r="E221" s="3"/>
      <c r="F221" s="3"/>
      <c r="G221" s="3"/>
      <c r="H221" s="3"/>
      <c r="I221" s="3"/>
      <c r="J221" s="3"/>
      <c r="K221" s="3"/>
      <c r="L221" s="3"/>
      <c r="M221" s="3"/>
      <c r="N221" s="3"/>
      <c r="O221" s="3"/>
      <c r="P221" s="3"/>
      <c r="Q221" s="3"/>
      <c r="R221" s="5"/>
      <c r="S221" s="3"/>
      <c r="T221" s="3"/>
      <c r="U221" s="3"/>
      <c r="V221" s="3"/>
      <c r="W221" s="3"/>
      <c r="X221" s="3"/>
      <c r="Y221" s="3"/>
      <c r="Z221" s="3"/>
    </row>
    <row r="222" ht="12.75" customHeight="1">
      <c r="A222" s="3"/>
      <c r="B222" s="3"/>
      <c r="C222" s="3"/>
      <c r="D222" s="3"/>
      <c r="E222" s="3"/>
      <c r="F222" s="3"/>
      <c r="G222" s="3"/>
      <c r="H222" s="3"/>
      <c r="I222" s="3"/>
      <c r="J222" s="3"/>
      <c r="K222" s="3"/>
      <c r="L222" s="3"/>
      <c r="M222" s="3"/>
      <c r="N222" s="3"/>
      <c r="O222" s="3"/>
      <c r="P222" s="3"/>
      <c r="Q222" s="3"/>
      <c r="R222" s="5"/>
      <c r="S222" s="3"/>
      <c r="T222" s="3"/>
      <c r="U222" s="3"/>
      <c r="V222" s="3"/>
      <c r="W222" s="3"/>
      <c r="X222" s="3"/>
      <c r="Y222" s="3"/>
      <c r="Z222" s="3"/>
    </row>
    <row r="223" ht="12.75" customHeight="1">
      <c r="A223" s="3"/>
      <c r="B223" s="3"/>
      <c r="C223" s="3"/>
      <c r="D223" s="3"/>
      <c r="E223" s="3"/>
      <c r="F223" s="3"/>
      <c r="G223" s="3"/>
      <c r="H223" s="3"/>
      <c r="I223" s="3"/>
      <c r="J223" s="3"/>
      <c r="K223" s="3"/>
      <c r="L223" s="3"/>
      <c r="M223" s="3"/>
      <c r="N223" s="3"/>
      <c r="O223" s="3"/>
      <c r="P223" s="3"/>
      <c r="Q223" s="3"/>
      <c r="R223" s="5"/>
      <c r="S223" s="3"/>
      <c r="T223" s="3"/>
      <c r="U223" s="3"/>
      <c r="V223" s="3"/>
      <c r="W223" s="3"/>
      <c r="X223" s="3"/>
      <c r="Y223" s="3"/>
      <c r="Z223" s="3"/>
    </row>
    <row r="224" ht="12.75" customHeight="1">
      <c r="A224" s="3"/>
      <c r="B224" s="3"/>
      <c r="C224" s="3"/>
      <c r="D224" s="3"/>
      <c r="E224" s="3"/>
      <c r="F224" s="3"/>
      <c r="G224" s="3"/>
      <c r="H224" s="3"/>
      <c r="I224" s="3"/>
      <c r="J224" s="3"/>
      <c r="K224" s="3"/>
      <c r="L224" s="3"/>
      <c r="M224" s="3"/>
      <c r="N224" s="3"/>
      <c r="O224" s="3"/>
      <c r="P224" s="3"/>
      <c r="Q224" s="3"/>
      <c r="R224" s="5"/>
      <c r="S224" s="3"/>
      <c r="T224" s="3"/>
      <c r="U224" s="3"/>
      <c r="V224" s="3"/>
      <c r="W224" s="3"/>
      <c r="X224" s="3"/>
      <c r="Y224" s="3"/>
      <c r="Z224" s="3"/>
    </row>
    <row r="225" ht="12.75" customHeight="1">
      <c r="A225" s="3"/>
      <c r="B225" s="3"/>
      <c r="C225" s="3"/>
      <c r="D225" s="3"/>
      <c r="E225" s="3"/>
      <c r="F225" s="3"/>
      <c r="G225" s="3"/>
      <c r="H225" s="3"/>
      <c r="I225" s="3"/>
      <c r="J225" s="3"/>
      <c r="K225" s="3"/>
      <c r="L225" s="3"/>
      <c r="M225" s="3"/>
      <c r="N225" s="3"/>
      <c r="O225" s="3"/>
      <c r="P225" s="3"/>
      <c r="Q225" s="3"/>
      <c r="R225" s="5"/>
      <c r="S225" s="3"/>
      <c r="T225" s="3"/>
      <c r="U225" s="3"/>
      <c r="V225" s="3"/>
      <c r="W225" s="3"/>
      <c r="X225" s="3"/>
      <c r="Y225" s="3"/>
      <c r="Z225" s="3"/>
    </row>
    <row r="226" ht="12.75" customHeight="1">
      <c r="A226" s="3"/>
      <c r="B226" s="3"/>
      <c r="C226" s="3"/>
      <c r="D226" s="3"/>
      <c r="E226" s="3"/>
      <c r="F226" s="3"/>
      <c r="G226" s="3"/>
      <c r="H226" s="3"/>
      <c r="I226" s="3"/>
      <c r="J226" s="3"/>
      <c r="K226" s="3"/>
      <c r="L226" s="3"/>
      <c r="M226" s="3"/>
      <c r="N226" s="3"/>
      <c r="O226" s="3"/>
      <c r="P226" s="3"/>
      <c r="Q226" s="3"/>
      <c r="R226" s="5"/>
      <c r="S226" s="3"/>
      <c r="T226" s="3"/>
      <c r="U226" s="3"/>
      <c r="V226" s="3"/>
      <c r="W226" s="3"/>
      <c r="X226" s="3"/>
      <c r="Y226" s="3"/>
      <c r="Z226" s="3"/>
    </row>
    <row r="227" ht="12.75" customHeight="1">
      <c r="A227" s="3"/>
      <c r="B227" s="3"/>
      <c r="C227" s="3"/>
      <c r="D227" s="3"/>
      <c r="E227" s="3"/>
      <c r="F227" s="3"/>
      <c r="G227" s="3"/>
      <c r="H227" s="3"/>
      <c r="I227" s="3"/>
      <c r="J227" s="3"/>
      <c r="K227" s="3"/>
      <c r="L227" s="3"/>
      <c r="M227" s="3"/>
      <c r="N227" s="3"/>
      <c r="O227" s="3"/>
      <c r="P227" s="3"/>
      <c r="Q227" s="3"/>
      <c r="R227" s="5"/>
      <c r="S227" s="3"/>
      <c r="T227" s="3"/>
      <c r="U227" s="3"/>
      <c r="V227" s="3"/>
      <c r="W227" s="3"/>
      <c r="X227" s="3"/>
      <c r="Y227" s="3"/>
      <c r="Z227" s="3"/>
    </row>
    <row r="228" ht="12.75" customHeight="1">
      <c r="A228" s="3"/>
      <c r="B228" s="3"/>
      <c r="C228" s="3"/>
      <c r="D228" s="3"/>
      <c r="E228" s="3"/>
      <c r="F228" s="3"/>
      <c r="G228" s="3"/>
      <c r="H228" s="3"/>
      <c r="I228" s="3"/>
      <c r="J228" s="3"/>
      <c r="K228" s="3"/>
      <c r="L228" s="3"/>
      <c r="M228" s="3"/>
      <c r="N228" s="3"/>
      <c r="O228" s="3"/>
      <c r="P228" s="3"/>
      <c r="Q228" s="3"/>
      <c r="R228" s="5"/>
      <c r="S228" s="3"/>
      <c r="T228" s="3"/>
      <c r="U228" s="3"/>
      <c r="V228" s="3"/>
      <c r="W228" s="3"/>
      <c r="X228" s="3"/>
      <c r="Y228" s="3"/>
      <c r="Z228" s="3"/>
    </row>
    <row r="229" ht="12.75" customHeight="1">
      <c r="A229" s="3"/>
      <c r="B229" s="3"/>
      <c r="C229" s="3"/>
      <c r="D229" s="3"/>
      <c r="E229" s="3"/>
      <c r="F229" s="3"/>
      <c r="G229" s="3"/>
      <c r="H229" s="3"/>
      <c r="I229" s="3"/>
      <c r="J229" s="3"/>
      <c r="K229" s="3"/>
      <c r="L229" s="3"/>
      <c r="M229" s="3"/>
      <c r="N229" s="3"/>
      <c r="O229" s="3"/>
      <c r="P229" s="3"/>
      <c r="Q229" s="3"/>
      <c r="R229" s="5"/>
      <c r="S229" s="3"/>
      <c r="T229" s="3"/>
      <c r="U229" s="3"/>
      <c r="V229" s="3"/>
      <c r="W229" s="3"/>
      <c r="X229" s="3"/>
      <c r="Y229" s="3"/>
      <c r="Z229" s="3"/>
    </row>
    <row r="230" ht="12.75" customHeight="1">
      <c r="A230" s="3"/>
      <c r="B230" s="3"/>
      <c r="C230" s="3"/>
      <c r="D230" s="3"/>
      <c r="E230" s="3"/>
      <c r="F230" s="3"/>
      <c r="G230" s="3"/>
      <c r="H230" s="3"/>
      <c r="I230" s="3"/>
      <c r="J230" s="3"/>
      <c r="K230" s="3"/>
      <c r="L230" s="3"/>
      <c r="M230" s="3"/>
      <c r="N230" s="3"/>
      <c r="O230" s="3"/>
      <c r="P230" s="3"/>
      <c r="Q230" s="3"/>
      <c r="R230" s="5"/>
      <c r="S230" s="3"/>
      <c r="T230" s="3"/>
      <c r="U230" s="3"/>
      <c r="V230" s="3"/>
      <c r="W230" s="3"/>
      <c r="X230" s="3"/>
      <c r="Y230" s="3"/>
      <c r="Z230" s="3"/>
    </row>
    <row r="231" ht="12.75" customHeight="1">
      <c r="A231" s="3"/>
      <c r="B231" s="3"/>
      <c r="C231" s="3"/>
      <c r="D231" s="3"/>
      <c r="E231" s="3"/>
      <c r="F231" s="3"/>
      <c r="G231" s="3"/>
      <c r="H231" s="3"/>
      <c r="I231" s="3"/>
      <c r="J231" s="3"/>
      <c r="K231" s="3"/>
      <c r="L231" s="3"/>
      <c r="M231" s="3"/>
      <c r="N231" s="3"/>
      <c r="O231" s="3"/>
      <c r="P231" s="3"/>
      <c r="Q231" s="3"/>
      <c r="R231" s="5"/>
      <c r="S231" s="3"/>
      <c r="T231" s="3"/>
      <c r="U231" s="3"/>
      <c r="V231" s="3"/>
      <c r="W231" s="3"/>
      <c r="X231" s="3"/>
      <c r="Y231" s="3"/>
      <c r="Z231" s="3"/>
    </row>
    <row r="232" ht="12.75" customHeight="1">
      <c r="A232" s="3"/>
      <c r="B232" s="3"/>
      <c r="C232" s="3"/>
      <c r="D232" s="3"/>
      <c r="E232" s="3"/>
      <c r="F232" s="3"/>
      <c r="G232" s="3"/>
      <c r="H232" s="3"/>
      <c r="I232" s="3"/>
      <c r="J232" s="3"/>
      <c r="K232" s="3"/>
      <c r="L232" s="3"/>
      <c r="M232" s="3"/>
      <c r="N232" s="3"/>
      <c r="O232" s="3"/>
      <c r="P232" s="3"/>
      <c r="Q232" s="3"/>
      <c r="R232" s="5"/>
      <c r="S232" s="3"/>
      <c r="T232" s="3"/>
      <c r="U232" s="3"/>
      <c r="V232" s="3"/>
      <c r="W232" s="3"/>
      <c r="X232" s="3"/>
      <c r="Y232" s="3"/>
      <c r="Z232" s="3"/>
    </row>
    <row r="233" ht="12.75" customHeight="1">
      <c r="A233" s="3"/>
      <c r="B233" s="3"/>
      <c r="C233" s="3"/>
      <c r="D233" s="3"/>
      <c r="E233" s="3"/>
      <c r="F233" s="3"/>
      <c r="G233" s="3"/>
      <c r="H233" s="3"/>
      <c r="I233" s="3"/>
      <c r="J233" s="3"/>
      <c r="K233" s="3"/>
      <c r="L233" s="3"/>
      <c r="M233" s="3"/>
      <c r="N233" s="3"/>
      <c r="O233" s="3"/>
      <c r="P233" s="3"/>
      <c r="Q233" s="3"/>
      <c r="R233" s="5"/>
      <c r="S233" s="3"/>
      <c r="T233" s="3"/>
      <c r="U233" s="3"/>
      <c r="V233" s="3"/>
      <c r="W233" s="3"/>
      <c r="X233" s="3"/>
      <c r="Y233" s="3"/>
      <c r="Z233" s="3"/>
    </row>
    <row r="234" ht="12.75" customHeight="1">
      <c r="A234" s="3"/>
      <c r="B234" s="3"/>
      <c r="C234" s="3"/>
      <c r="D234" s="3"/>
      <c r="E234" s="3"/>
      <c r="F234" s="3"/>
      <c r="G234" s="3"/>
      <c r="H234" s="3"/>
      <c r="I234" s="3"/>
      <c r="J234" s="3"/>
      <c r="K234" s="3"/>
      <c r="L234" s="3"/>
      <c r="M234" s="3"/>
      <c r="N234" s="3"/>
      <c r="O234" s="3"/>
      <c r="P234" s="3"/>
      <c r="Q234" s="3"/>
      <c r="R234" s="5"/>
      <c r="S234" s="3"/>
      <c r="T234" s="3"/>
      <c r="U234" s="3"/>
      <c r="V234" s="3"/>
      <c r="W234" s="3"/>
      <c r="X234" s="3"/>
      <c r="Y234" s="3"/>
      <c r="Z234" s="3"/>
    </row>
    <row r="235" ht="12.75" customHeight="1">
      <c r="A235" s="3"/>
      <c r="B235" s="3"/>
      <c r="C235" s="3"/>
      <c r="D235" s="3"/>
      <c r="E235" s="3"/>
      <c r="F235" s="3"/>
      <c r="G235" s="3"/>
      <c r="H235" s="3"/>
      <c r="I235" s="3"/>
      <c r="J235" s="3"/>
      <c r="K235" s="3"/>
      <c r="L235" s="3"/>
      <c r="M235" s="3"/>
      <c r="N235" s="3"/>
      <c r="O235" s="3"/>
      <c r="P235" s="3"/>
      <c r="Q235" s="3"/>
      <c r="R235" s="5"/>
      <c r="S235" s="3"/>
      <c r="T235" s="3"/>
      <c r="U235" s="3"/>
      <c r="V235" s="3"/>
      <c r="W235" s="3"/>
      <c r="X235" s="3"/>
      <c r="Y235" s="3"/>
      <c r="Z235" s="3"/>
    </row>
    <row r="236" ht="12.75" customHeight="1">
      <c r="A236" s="3"/>
      <c r="B236" s="3"/>
      <c r="C236" s="3"/>
      <c r="D236" s="3"/>
      <c r="E236" s="3"/>
      <c r="F236" s="3"/>
      <c r="G236" s="3"/>
      <c r="H236" s="3"/>
      <c r="I236" s="3"/>
      <c r="J236" s="3"/>
      <c r="K236" s="3"/>
      <c r="L236" s="3"/>
      <c r="M236" s="3"/>
      <c r="N236" s="3"/>
      <c r="O236" s="3"/>
      <c r="P236" s="3"/>
      <c r="Q236" s="3"/>
      <c r="R236" s="5"/>
      <c r="S236" s="3"/>
      <c r="T236" s="3"/>
      <c r="U236" s="3"/>
      <c r="V236" s="3"/>
      <c r="W236" s="3"/>
      <c r="X236" s="3"/>
      <c r="Y236" s="3"/>
      <c r="Z236" s="3"/>
    </row>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2:E2"/>
    <mergeCell ref="B3:E3"/>
    <mergeCell ref="B4:E4"/>
  </mergeCells>
  <dataValidations>
    <dataValidation type="list" allowBlank="1" showErrorMessage="1" sqref="G2:G3 J2:J3 M2:M3 G9 J9 M9 F12:F19 I12:I19 L12:L19 F20:G26 I20:J26 L20:M26 G27 J27 M27 F28:G36 I28:J36 L28:M36 G37:G147 J37:J147 M37:M147">
      <formula1>$S$2:$S$5</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7.0"/>
    <col customWidth="1" min="2" max="2" width="34.5"/>
    <col customWidth="1" min="3" max="3" width="33.38"/>
    <col customWidth="1" min="4" max="4" width="34.63"/>
    <col customWidth="1" min="5" max="5" width="28.38"/>
    <col customWidth="1" min="6" max="6" width="9.38"/>
    <col customWidth="1" hidden="1" min="7" max="7" width="10.63"/>
    <col customWidth="1" hidden="1" min="8" max="8" width="7.0"/>
    <col customWidth="1" min="9" max="9" width="9.38"/>
    <col customWidth="1" hidden="1" min="10" max="10" width="10.63"/>
    <col customWidth="1" hidden="1" min="11" max="11" width="7.0"/>
    <col customWidth="1" min="12" max="12" width="9.38"/>
    <col customWidth="1" hidden="1" min="13" max="13" width="10.63"/>
    <col customWidth="1" hidden="1" min="14" max="14" width="7.0"/>
    <col customWidth="1" min="15" max="15" width="16.63"/>
    <col customWidth="1" min="16" max="16" width="28.63"/>
    <col customWidth="1" min="17" max="17" width="10.13"/>
    <col customWidth="1" min="18" max="18" width="8.13"/>
    <col customWidth="1" hidden="1" min="19" max="19" width="7.63"/>
    <col customWidth="1" min="20" max="26" width="9.0"/>
  </cols>
  <sheetData>
    <row r="1" ht="12.75" customHeight="1">
      <c r="A1" s="3"/>
      <c r="B1" s="3"/>
      <c r="C1" s="3"/>
      <c r="D1" s="3"/>
      <c r="E1" s="3"/>
      <c r="F1" s="3"/>
      <c r="G1" s="3"/>
      <c r="H1" s="3"/>
      <c r="I1" s="3"/>
      <c r="J1" s="3"/>
      <c r="K1" s="3"/>
      <c r="L1" s="3"/>
      <c r="M1" s="3"/>
      <c r="N1" s="3"/>
      <c r="O1" s="3"/>
      <c r="P1" s="3"/>
      <c r="Q1" s="3"/>
      <c r="R1" s="5"/>
      <c r="S1" s="3"/>
      <c r="T1" s="3"/>
      <c r="U1" s="3"/>
      <c r="V1" s="3"/>
      <c r="W1" s="3"/>
      <c r="X1" s="3"/>
      <c r="Y1" s="3"/>
      <c r="Z1" s="3"/>
    </row>
    <row r="2">
      <c r="A2" s="12" t="s">
        <v>2</v>
      </c>
      <c r="B2" s="14" t="s">
        <v>48</v>
      </c>
      <c r="C2" s="16"/>
      <c r="D2" s="16"/>
      <c r="E2" s="17"/>
      <c r="F2" s="21"/>
      <c r="G2" s="24"/>
      <c r="H2" s="26"/>
      <c r="I2" s="21"/>
      <c r="J2" s="24"/>
      <c r="K2" s="26"/>
      <c r="L2" s="21"/>
      <c r="M2" s="24"/>
      <c r="N2" s="26"/>
      <c r="O2" s="26"/>
      <c r="P2" s="26"/>
      <c r="Q2" s="26"/>
      <c r="R2" s="29"/>
      <c r="S2" s="32" t="s">
        <v>6</v>
      </c>
      <c r="T2" s="32"/>
      <c r="U2" s="32"/>
      <c r="V2" s="32"/>
      <c r="W2" s="32"/>
      <c r="X2" s="32"/>
      <c r="Y2" s="32"/>
      <c r="Z2" s="32"/>
    </row>
    <row r="3">
      <c r="A3" s="36" t="s">
        <v>9</v>
      </c>
      <c r="B3" s="152" t="s">
        <v>191</v>
      </c>
      <c r="C3" s="15"/>
      <c r="D3" s="15"/>
      <c r="E3" s="38"/>
      <c r="F3" s="21"/>
      <c r="G3" s="24"/>
      <c r="H3" s="26"/>
      <c r="I3" s="21"/>
      <c r="J3" s="24"/>
      <c r="K3" s="26"/>
      <c r="L3" s="21"/>
      <c r="M3" s="24"/>
      <c r="N3" s="26"/>
      <c r="O3" s="26"/>
      <c r="P3" s="26"/>
      <c r="Q3" s="26"/>
      <c r="R3" s="29"/>
      <c r="S3" s="32" t="s">
        <v>14</v>
      </c>
      <c r="T3" s="32"/>
      <c r="U3" s="32"/>
      <c r="V3" s="32"/>
      <c r="W3" s="32"/>
      <c r="X3" s="32"/>
      <c r="Y3" s="32"/>
      <c r="Z3" s="32"/>
    </row>
    <row r="4">
      <c r="A4" s="36" t="s">
        <v>15</v>
      </c>
      <c r="B4" s="152">
        <v>52.0</v>
      </c>
      <c r="C4" s="15"/>
      <c r="D4" s="15"/>
      <c r="E4" s="38"/>
      <c r="F4" s="21"/>
      <c r="G4" s="24"/>
      <c r="H4" s="26"/>
      <c r="I4" s="21"/>
      <c r="J4" s="24"/>
      <c r="K4" s="26"/>
      <c r="L4" s="21"/>
      <c r="M4" s="24"/>
      <c r="N4" s="26"/>
      <c r="O4" s="26"/>
      <c r="P4" s="26"/>
      <c r="Q4" s="26"/>
      <c r="R4" s="29"/>
      <c r="S4" s="32" t="s">
        <v>19</v>
      </c>
      <c r="T4" s="32"/>
      <c r="U4" s="32"/>
      <c r="V4" s="32"/>
      <c r="W4" s="32"/>
      <c r="X4" s="32"/>
      <c r="Y4" s="32"/>
      <c r="Z4" s="32"/>
    </row>
    <row r="5">
      <c r="A5" s="46" t="s">
        <v>20</v>
      </c>
      <c r="B5" s="47" t="s">
        <v>6</v>
      </c>
      <c r="C5" s="47" t="s">
        <v>14</v>
      </c>
      <c r="D5" s="47" t="s">
        <v>19</v>
      </c>
      <c r="E5" s="50" t="s">
        <v>22</v>
      </c>
      <c r="F5" s="52"/>
      <c r="G5" s="52"/>
      <c r="H5" s="53"/>
      <c r="I5" s="52"/>
      <c r="J5" s="52"/>
      <c r="K5" s="53"/>
      <c r="L5" s="52"/>
      <c r="M5" s="52"/>
      <c r="N5" s="53"/>
      <c r="O5" s="53"/>
      <c r="P5" s="53"/>
      <c r="Q5" s="53"/>
      <c r="R5" s="57"/>
      <c r="S5" s="32" t="s">
        <v>22</v>
      </c>
      <c r="T5" s="32"/>
      <c r="U5" s="32"/>
      <c r="V5" s="32"/>
      <c r="W5" s="32"/>
      <c r="X5" s="32"/>
      <c r="Y5" s="32"/>
      <c r="Z5" s="32"/>
    </row>
    <row r="6">
      <c r="A6" s="46" t="s">
        <v>25</v>
      </c>
      <c r="B6" s="68">
        <f t="shared" ref="B6:E6" si="1">COUNTIF($F10:$F1014,B5)</f>
        <v>51</v>
      </c>
      <c r="C6" s="68">
        <f t="shared" si="1"/>
        <v>1</v>
      </c>
      <c r="D6" s="68">
        <f t="shared" si="1"/>
        <v>0</v>
      </c>
      <c r="E6" s="74">
        <f t="shared" si="1"/>
        <v>0</v>
      </c>
      <c r="F6" s="75"/>
      <c r="G6" s="75"/>
      <c r="H6" s="53"/>
      <c r="I6" s="75"/>
      <c r="J6" s="75"/>
      <c r="K6" s="53"/>
      <c r="L6" s="75"/>
      <c r="M6" s="75"/>
      <c r="N6" s="53"/>
      <c r="O6" s="53"/>
      <c r="P6" s="53"/>
      <c r="Q6" s="53"/>
      <c r="R6" s="57"/>
      <c r="S6" s="32"/>
      <c r="T6" s="32"/>
      <c r="U6" s="32"/>
      <c r="V6" s="32"/>
      <c r="W6" s="32"/>
      <c r="X6" s="32"/>
      <c r="Y6" s="32"/>
      <c r="Z6" s="32"/>
    </row>
    <row r="7">
      <c r="A7" s="46" t="s">
        <v>40</v>
      </c>
      <c r="B7" s="68">
        <f t="shared" ref="B7:E7" si="2">COUNTIF($I10:$I1014,B5)</f>
        <v>52</v>
      </c>
      <c r="C7" s="68">
        <f t="shared" si="2"/>
        <v>0</v>
      </c>
      <c r="D7" s="68">
        <f t="shared" si="2"/>
        <v>0</v>
      </c>
      <c r="E7" s="74">
        <f t="shared" si="2"/>
        <v>0</v>
      </c>
      <c r="F7" s="75"/>
      <c r="G7" s="75"/>
      <c r="H7" s="53"/>
      <c r="I7" s="75"/>
      <c r="J7" s="75"/>
      <c r="K7" s="53"/>
      <c r="L7" s="75"/>
      <c r="M7" s="75"/>
      <c r="N7" s="53"/>
      <c r="O7" s="53"/>
      <c r="P7" s="53"/>
      <c r="Q7" s="53"/>
      <c r="R7" s="57"/>
      <c r="S7" s="32"/>
      <c r="T7" s="32"/>
      <c r="U7" s="32"/>
      <c r="V7" s="32"/>
      <c r="W7" s="32"/>
      <c r="X7" s="32"/>
      <c r="Y7" s="32"/>
      <c r="Z7" s="32"/>
    </row>
    <row r="8">
      <c r="A8" s="89" t="s">
        <v>47</v>
      </c>
      <c r="B8" s="92">
        <f t="shared" ref="B8:E8" si="3">COUNTIF($L10:$L1014,B5)</f>
        <v>0</v>
      </c>
      <c r="C8" s="92">
        <f t="shared" si="3"/>
        <v>0</v>
      </c>
      <c r="D8" s="92">
        <f t="shared" si="3"/>
        <v>0</v>
      </c>
      <c r="E8" s="98">
        <f t="shared" si="3"/>
        <v>52</v>
      </c>
      <c r="F8" s="75"/>
      <c r="G8" s="75"/>
      <c r="H8" s="53"/>
      <c r="I8" s="75"/>
      <c r="J8" s="75"/>
      <c r="K8" s="53"/>
      <c r="L8" s="75"/>
      <c r="M8" s="75"/>
      <c r="N8" s="53"/>
      <c r="O8" s="53"/>
      <c r="P8" s="53"/>
      <c r="Q8" s="53"/>
      <c r="R8" s="57"/>
      <c r="S8" s="32"/>
      <c r="T8" s="32"/>
      <c r="U8" s="32"/>
      <c r="V8" s="32"/>
      <c r="W8" s="32"/>
      <c r="X8" s="32"/>
      <c r="Y8" s="32"/>
      <c r="Z8" s="32"/>
    </row>
    <row r="9">
      <c r="A9" s="53"/>
      <c r="B9" s="53"/>
      <c r="C9" s="53"/>
      <c r="D9" s="53"/>
      <c r="E9" s="53"/>
      <c r="F9" s="102"/>
      <c r="G9" s="53"/>
      <c r="H9" s="53"/>
      <c r="I9" s="102"/>
      <c r="J9" s="53"/>
      <c r="K9" s="53"/>
      <c r="L9" s="102"/>
      <c r="M9" s="53"/>
      <c r="N9" s="53"/>
      <c r="O9" s="53"/>
      <c r="P9" s="53"/>
      <c r="Q9" s="53"/>
      <c r="R9" s="57"/>
      <c r="S9" s="32"/>
      <c r="T9" s="32"/>
      <c r="U9" s="32"/>
      <c r="V9" s="32"/>
      <c r="W9" s="32"/>
      <c r="X9" s="32"/>
      <c r="Y9" s="32"/>
      <c r="Z9" s="32"/>
    </row>
    <row r="10" ht="25.5" customHeight="1">
      <c r="A10" s="108" t="s">
        <v>60</v>
      </c>
      <c r="B10" s="108" t="s">
        <v>61</v>
      </c>
      <c r="C10" s="108" t="s">
        <v>62</v>
      </c>
      <c r="D10" s="108" t="s">
        <v>63</v>
      </c>
      <c r="E10" s="108" t="s">
        <v>64</v>
      </c>
      <c r="F10" s="108" t="s">
        <v>25</v>
      </c>
      <c r="G10" s="108" t="s">
        <v>66</v>
      </c>
      <c r="H10" s="108" t="s">
        <v>67</v>
      </c>
      <c r="I10" s="108" t="s">
        <v>40</v>
      </c>
      <c r="J10" s="108" t="s">
        <v>66</v>
      </c>
      <c r="K10" s="108" t="s">
        <v>67</v>
      </c>
      <c r="L10" s="108" t="s">
        <v>47</v>
      </c>
      <c r="M10" s="108" t="s">
        <v>66</v>
      </c>
      <c r="N10" s="108" t="s">
        <v>67</v>
      </c>
      <c r="O10" s="108" t="s">
        <v>68</v>
      </c>
      <c r="P10" s="108" t="s">
        <v>69</v>
      </c>
      <c r="Q10" s="32"/>
      <c r="R10" s="113"/>
      <c r="S10" s="32"/>
      <c r="T10" s="32"/>
      <c r="U10" s="32"/>
      <c r="V10" s="32"/>
      <c r="W10" s="32"/>
      <c r="X10" s="32"/>
      <c r="Y10" s="32"/>
      <c r="Z10" s="32"/>
    </row>
    <row r="11" ht="15.75" customHeight="1">
      <c r="A11" s="153" t="s">
        <v>192</v>
      </c>
      <c r="B11" s="153"/>
      <c r="C11" s="154"/>
      <c r="D11" s="155"/>
      <c r="E11" s="155"/>
      <c r="F11" s="155"/>
      <c r="G11" s="155"/>
      <c r="H11" s="155"/>
      <c r="I11" s="155"/>
      <c r="J11" s="155"/>
      <c r="K11" s="155"/>
      <c r="L11" s="155"/>
      <c r="M11" s="155"/>
      <c r="N11" s="155"/>
      <c r="O11" s="155"/>
      <c r="P11" s="156"/>
      <c r="Q11" s="32"/>
      <c r="R11" s="118"/>
      <c r="S11" s="32"/>
      <c r="T11" s="32"/>
      <c r="U11" s="32"/>
      <c r="V11" s="32"/>
      <c r="W11" s="32"/>
      <c r="X11" s="32"/>
      <c r="Y11" s="32"/>
      <c r="Z11" s="32"/>
    </row>
    <row r="12">
      <c r="A12" s="157" t="s">
        <v>193</v>
      </c>
      <c r="B12" s="158" t="s">
        <v>194</v>
      </c>
      <c r="C12" s="159" t="s">
        <v>195</v>
      </c>
      <c r="D12" s="159" t="s">
        <v>196</v>
      </c>
      <c r="E12" s="159" t="s">
        <v>197</v>
      </c>
      <c r="F12" s="157" t="s">
        <v>6</v>
      </c>
      <c r="G12" s="157"/>
      <c r="H12" s="157"/>
      <c r="I12" s="157" t="s">
        <v>6</v>
      </c>
      <c r="J12" s="157"/>
      <c r="K12" s="157"/>
      <c r="L12" s="157" t="s">
        <v>22</v>
      </c>
      <c r="M12" s="157"/>
      <c r="N12" s="157"/>
      <c r="O12" s="157"/>
      <c r="P12" s="157" t="s">
        <v>78</v>
      </c>
      <c r="Q12" s="124"/>
      <c r="R12" s="123"/>
      <c r="S12" s="124"/>
      <c r="T12" s="124"/>
      <c r="U12" s="124"/>
      <c r="V12" s="124"/>
      <c r="W12" s="124"/>
      <c r="X12" s="124"/>
      <c r="Y12" s="124"/>
      <c r="Z12" s="124"/>
    </row>
    <row r="13">
      <c r="A13" s="157" t="s">
        <v>198</v>
      </c>
      <c r="B13" s="157" t="s">
        <v>199</v>
      </c>
      <c r="C13" s="159" t="s">
        <v>200</v>
      </c>
      <c r="D13" s="159" t="s">
        <v>201</v>
      </c>
      <c r="E13" s="159" t="s">
        <v>197</v>
      </c>
      <c r="F13" s="157" t="s">
        <v>6</v>
      </c>
      <c r="G13" s="157"/>
      <c r="H13" s="157"/>
      <c r="I13" s="157" t="s">
        <v>6</v>
      </c>
      <c r="J13" s="157"/>
      <c r="K13" s="157"/>
      <c r="L13" s="157" t="s">
        <v>22</v>
      </c>
      <c r="M13" s="157"/>
      <c r="N13" s="157"/>
      <c r="O13" s="157"/>
      <c r="P13" s="157" t="s">
        <v>78</v>
      </c>
      <c r="Q13" s="3"/>
      <c r="R13" s="123"/>
      <c r="S13" s="3"/>
      <c r="T13" s="3"/>
      <c r="U13" s="3"/>
      <c r="V13" s="3"/>
      <c r="W13" s="3"/>
      <c r="X13" s="3"/>
      <c r="Y13" s="3"/>
      <c r="Z13" s="3"/>
    </row>
    <row r="14">
      <c r="A14" s="157" t="s">
        <v>202</v>
      </c>
      <c r="B14" s="160" t="s">
        <v>203</v>
      </c>
      <c r="C14" s="159" t="s">
        <v>204</v>
      </c>
      <c r="D14" s="159" t="s">
        <v>205</v>
      </c>
      <c r="E14" s="159" t="s">
        <v>197</v>
      </c>
      <c r="F14" s="157" t="s">
        <v>6</v>
      </c>
      <c r="G14" s="157"/>
      <c r="H14" s="157"/>
      <c r="I14" s="157" t="s">
        <v>6</v>
      </c>
      <c r="J14" s="157"/>
      <c r="K14" s="157"/>
      <c r="L14" s="157" t="s">
        <v>22</v>
      </c>
      <c r="M14" s="157"/>
      <c r="N14" s="157"/>
      <c r="O14" s="157"/>
      <c r="P14" s="157" t="s">
        <v>78</v>
      </c>
      <c r="Q14" s="3"/>
      <c r="R14" s="123"/>
      <c r="S14" s="3"/>
      <c r="T14" s="3"/>
      <c r="U14" s="3"/>
      <c r="V14" s="3"/>
      <c r="W14" s="3"/>
      <c r="X14" s="3"/>
      <c r="Y14" s="3"/>
      <c r="Z14" s="3"/>
    </row>
    <row r="15">
      <c r="A15" s="157" t="s">
        <v>206</v>
      </c>
      <c r="B15" s="160" t="s">
        <v>207</v>
      </c>
      <c r="C15" s="159" t="s">
        <v>208</v>
      </c>
      <c r="D15" s="159" t="s">
        <v>209</v>
      </c>
      <c r="E15" s="159" t="s">
        <v>197</v>
      </c>
      <c r="F15" s="157" t="s">
        <v>6</v>
      </c>
      <c r="G15" s="157"/>
      <c r="H15" s="157"/>
      <c r="I15" s="157" t="s">
        <v>6</v>
      </c>
      <c r="J15" s="157"/>
      <c r="K15" s="157"/>
      <c r="L15" s="157" t="s">
        <v>22</v>
      </c>
      <c r="M15" s="157"/>
      <c r="N15" s="157"/>
      <c r="O15" s="157"/>
      <c r="P15" s="157" t="s">
        <v>78</v>
      </c>
      <c r="Q15" s="3"/>
      <c r="R15" s="123"/>
      <c r="S15" s="3"/>
      <c r="T15" s="3"/>
      <c r="U15" s="3"/>
      <c r="V15" s="3"/>
      <c r="W15" s="3"/>
      <c r="X15" s="3"/>
      <c r="Y15" s="3"/>
      <c r="Z15" s="3"/>
    </row>
    <row r="16">
      <c r="A16" s="157" t="s">
        <v>210</v>
      </c>
      <c r="B16" s="160" t="s">
        <v>211</v>
      </c>
      <c r="C16" s="159" t="s">
        <v>212</v>
      </c>
      <c r="D16" s="159" t="s">
        <v>205</v>
      </c>
      <c r="E16" s="159" t="s">
        <v>197</v>
      </c>
      <c r="F16" s="157" t="s">
        <v>6</v>
      </c>
      <c r="G16" s="157"/>
      <c r="H16" s="157"/>
      <c r="I16" s="157" t="s">
        <v>6</v>
      </c>
      <c r="J16" s="157"/>
      <c r="K16" s="157"/>
      <c r="L16" s="157" t="s">
        <v>22</v>
      </c>
      <c r="M16" s="157"/>
      <c r="N16" s="157"/>
      <c r="O16" s="157"/>
      <c r="P16" s="157" t="s">
        <v>78</v>
      </c>
      <c r="Q16" s="3"/>
      <c r="R16" s="123"/>
      <c r="S16" s="3"/>
      <c r="T16" s="3"/>
      <c r="U16" s="3"/>
      <c r="V16" s="3"/>
      <c r="W16" s="3"/>
      <c r="X16" s="3"/>
      <c r="Y16" s="3"/>
      <c r="Z16" s="3"/>
    </row>
    <row r="17">
      <c r="A17" s="157" t="s">
        <v>213</v>
      </c>
      <c r="B17" s="157" t="s">
        <v>214</v>
      </c>
      <c r="C17" s="159" t="s">
        <v>215</v>
      </c>
      <c r="D17" s="159" t="s">
        <v>216</v>
      </c>
      <c r="E17" s="159" t="s">
        <v>197</v>
      </c>
      <c r="F17" s="157" t="s">
        <v>6</v>
      </c>
      <c r="G17" s="157"/>
      <c r="H17" s="157"/>
      <c r="I17" s="157" t="s">
        <v>6</v>
      </c>
      <c r="J17" s="157"/>
      <c r="K17" s="157"/>
      <c r="L17" s="157" t="s">
        <v>22</v>
      </c>
      <c r="M17" s="157"/>
      <c r="N17" s="157"/>
      <c r="O17" s="157"/>
      <c r="P17" s="157" t="s">
        <v>78</v>
      </c>
      <c r="Q17" s="3"/>
      <c r="R17" s="123"/>
      <c r="S17" s="3"/>
      <c r="T17" s="3"/>
      <c r="U17" s="3"/>
      <c r="V17" s="3"/>
      <c r="W17" s="3"/>
      <c r="X17" s="3"/>
      <c r="Y17" s="3"/>
      <c r="Z17" s="3"/>
    </row>
    <row r="18">
      <c r="A18" s="157" t="s">
        <v>217</v>
      </c>
      <c r="B18" s="160" t="s">
        <v>218</v>
      </c>
      <c r="C18" s="159" t="s">
        <v>219</v>
      </c>
      <c r="D18" s="159" t="s">
        <v>220</v>
      </c>
      <c r="E18" s="159" t="s">
        <v>197</v>
      </c>
      <c r="F18" s="157" t="s">
        <v>6</v>
      </c>
      <c r="G18" s="157"/>
      <c r="H18" s="157"/>
      <c r="I18" s="157" t="s">
        <v>6</v>
      </c>
      <c r="J18" s="157"/>
      <c r="K18" s="157"/>
      <c r="L18" s="157" t="s">
        <v>22</v>
      </c>
      <c r="M18" s="157"/>
      <c r="N18" s="157"/>
      <c r="O18" s="157"/>
      <c r="P18" s="157" t="s">
        <v>78</v>
      </c>
      <c r="Q18" s="3"/>
      <c r="R18" s="123"/>
      <c r="S18" s="3"/>
      <c r="T18" s="3"/>
      <c r="U18" s="3"/>
      <c r="V18" s="3"/>
      <c r="W18" s="3"/>
      <c r="X18" s="3"/>
      <c r="Y18" s="3"/>
      <c r="Z18" s="3"/>
    </row>
    <row r="19">
      <c r="A19" s="157" t="s">
        <v>221</v>
      </c>
      <c r="B19" s="160" t="s">
        <v>222</v>
      </c>
      <c r="C19" s="159" t="s">
        <v>223</v>
      </c>
      <c r="D19" s="159" t="s">
        <v>224</v>
      </c>
      <c r="E19" s="159" t="s">
        <v>197</v>
      </c>
      <c r="F19" s="157" t="s">
        <v>6</v>
      </c>
      <c r="G19" s="157"/>
      <c r="H19" s="157"/>
      <c r="I19" s="157" t="s">
        <v>6</v>
      </c>
      <c r="J19" s="157"/>
      <c r="K19" s="157"/>
      <c r="L19" s="157" t="s">
        <v>22</v>
      </c>
      <c r="M19" s="157"/>
      <c r="N19" s="157"/>
      <c r="O19" s="157"/>
      <c r="P19" s="157" t="s">
        <v>78</v>
      </c>
      <c r="Q19" s="3"/>
      <c r="R19" s="123"/>
      <c r="S19" s="3"/>
      <c r="T19" s="3"/>
      <c r="U19" s="3"/>
      <c r="V19" s="3"/>
      <c r="W19" s="3"/>
      <c r="X19" s="3"/>
      <c r="Y19" s="3"/>
      <c r="Z19" s="3"/>
    </row>
    <row r="20">
      <c r="A20" s="157" t="s">
        <v>225</v>
      </c>
      <c r="B20" s="160" t="s">
        <v>226</v>
      </c>
      <c r="C20" s="159" t="s">
        <v>227</v>
      </c>
      <c r="D20" s="159" t="s">
        <v>220</v>
      </c>
      <c r="E20" s="159" t="s">
        <v>197</v>
      </c>
      <c r="F20" s="157" t="s">
        <v>6</v>
      </c>
      <c r="G20" s="157"/>
      <c r="H20" s="157"/>
      <c r="I20" s="157" t="s">
        <v>6</v>
      </c>
      <c r="J20" s="157"/>
      <c r="K20" s="157"/>
      <c r="L20" s="157" t="s">
        <v>22</v>
      </c>
      <c r="M20" s="157"/>
      <c r="N20" s="157"/>
      <c r="O20" s="157"/>
      <c r="P20" s="157" t="s">
        <v>78</v>
      </c>
      <c r="Q20" s="3"/>
      <c r="R20" s="123"/>
      <c r="S20" s="3"/>
      <c r="T20" s="3"/>
      <c r="U20" s="3"/>
      <c r="V20" s="3"/>
      <c r="W20" s="3"/>
      <c r="X20" s="3"/>
      <c r="Y20" s="3"/>
      <c r="Z20" s="3"/>
    </row>
    <row r="21">
      <c r="A21" s="157" t="s">
        <v>228</v>
      </c>
      <c r="B21" s="160" t="s">
        <v>229</v>
      </c>
      <c r="C21" s="159" t="s">
        <v>230</v>
      </c>
      <c r="D21" s="159" t="s">
        <v>220</v>
      </c>
      <c r="E21" s="159" t="s">
        <v>197</v>
      </c>
      <c r="F21" s="157" t="s">
        <v>6</v>
      </c>
      <c r="G21" s="157"/>
      <c r="H21" s="157"/>
      <c r="I21" s="157" t="s">
        <v>6</v>
      </c>
      <c r="J21" s="157"/>
      <c r="K21" s="157"/>
      <c r="L21" s="157" t="s">
        <v>22</v>
      </c>
      <c r="M21" s="157"/>
      <c r="N21" s="157"/>
      <c r="O21" s="157"/>
      <c r="P21" s="157" t="s">
        <v>78</v>
      </c>
      <c r="Q21" s="3"/>
      <c r="R21" s="123"/>
      <c r="S21" s="3"/>
      <c r="T21" s="3"/>
      <c r="U21" s="3"/>
      <c r="V21" s="3"/>
      <c r="W21" s="3"/>
      <c r="X21" s="3"/>
      <c r="Y21" s="3"/>
      <c r="Z21" s="3"/>
    </row>
    <row r="22">
      <c r="A22" s="157" t="s">
        <v>231</v>
      </c>
      <c r="B22" s="157" t="s">
        <v>232</v>
      </c>
      <c r="C22" s="159" t="s">
        <v>233</v>
      </c>
      <c r="D22" s="159" t="s">
        <v>234</v>
      </c>
      <c r="E22" s="159" t="s">
        <v>197</v>
      </c>
      <c r="F22" s="157" t="s">
        <v>6</v>
      </c>
      <c r="G22" s="157"/>
      <c r="H22" s="157"/>
      <c r="I22" s="157" t="s">
        <v>6</v>
      </c>
      <c r="J22" s="157"/>
      <c r="K22" s="157"/>
      <c r="L22" s="157" t="s">
        <v>22</v>
      </c>
      <c r="M22" s="157"/>
      <c r="N22" s="157"/>
      <c r="O22" s="157"/>
      <c r="P22" s="157" t="s">
        <v>78</v>
      </c>
      <c r="Q22" s="3"/>
      <c r="R22" s="123"/>
      <c r="S22" s="3"/>
      <c r="T22" s="3"/>
      <c r="U22" s="3"/>
      <c r="V22" s="3"/>
      <c r="W22" s="3"/>
      <c r="X22" s="3"/>
      <c r="Y22" s="3"/>
      <c r="Z22" s="3"/>
    </row>
    <row r="23">
      <c r="A23" s="157" t="s">
        <v>235</v>
      </c>
      <c r="B23" s="160" t="s">
        <v>236</v>
      </c>
      <c r="C23" s="159" t="s">
        <v>237</v>
      </c>
      <c r="D23" s="159" t="s">
        <v>238</v>
      </c>
      <c r="E23" s="159" t="s">
        <v>197</v>
      </c>
      <c r="F23" s="157" t="s">
        <v>6</v>
      </c>
      <c r="G23" s="157"/>
      <c r="H23" s="157"/>
      <c r="I23" s="157" t="s">
        <v>6</v>
      </c>
      <c r="J23" s="157"/>
      <c r="K23" s="157"/>
      <c r="L23" s="157" t="s">
        <v>22</v>
      </c>
      <c r="M23" s="157"/>
      <c r="N23" s="157"/>
      <c r="O23" s="157"/>
      <c r="P23" s="157" t="s">
        <v>78</v>
      </c>
      <c r="Q23" s="3"/>
      <c r="R23" s="123"/>
      <c r="S23" s="3"/>
      <c r="T23" s="3"/>
      <c r="U23" s="3"/>
      <c r="V23" s="3"/>
      <c r="W23" s="3"/>
      <c r="X23" s="3"/>
      <c r="Y23" s="3"/>
      <c r="Z23" s="3"/>
    </row>
    <row r="24">
      <c r="A24" s="157" t="s">
        <v>239</v>
      </c>
      <c r="B24" s="157" t="s">
        <v>240</v>
      </c>
      <c r="C24" s="159" t="s">
        <v>241</v>
      </c>
      <c r="D24" s="159" t="s">
        <v>242</v>
      </c>
      <c r="E24" s="159" t="s">
        <v>197</v>
      </c>
      <c r="F24" s="157" t="s">
        <v>6</v>
      </c>
      <c r="G24" s="157"/>
      <c r="H24" s="157"/>
      <c r="I24" s="157" t="s">
        <v>6</v>
      </c>
      <c r="J24" s="157"/>
      <c r="K24" s="157"/>
      <c r="L24" s="157" t="s">
        <v>22</v>
      </c>
      <c r="M24" s="157"/>
      <c r="N24" s="157"/>
      <c r="O24" s="157"/>
      <c r="P24" s="157" t="s">
        <v>78</v>
      </c>
      <c r="Q24" s="3"/>
      <c r="R24" s="123"/>
      <c r="S24" s="3"/>
      <c r="T24" s="3"/>
      <c r="U24" s="3"/>
      <c r="V24" s="3"/>
      <c r="W24" s="3"/>
      <c r="X24" s="3"/>
      <c r="Y24" s="3"/>
      <c r="Z24" s="3"/>
    </row>
    <row r="25">
      <c r="A25" s="157" t="s">
        <v>243</v>
      </c>
      <c r="B25" s="160" t="s">
        <v>244</v>
      </c>
      <c r="C25" s="159" t="s">
        <v>245</v>
      </c>
      <c r="D25" s="159" t="s">
        <v>246</v>
      </c>
      <c r="E25" s="159" t="s">
        <v>197</v>
      </c>
      <c r="F25" s="157" t="s">
        <v>6</v>
      </c>
      <c r="G25" s="157"/>
      <c r="H25" s="157"/>
      <c r="I25" s="157" t="s">
        <v>6</v>
      </c>
      <c r="J25" s="157"/>
      <c r="K25" s="157"/>
      <c r="L25" s="157" t="s">
        <v>22</v>
      </c>
      <c r="M25" s="157"/>
      <c r="N25" s="157"/>
      <c r="O25" s="157"/>
      <c r="P25" s="157" t="s">
        <v>78</v>
      </c>
      <c r="Q25" s="3"/>
      <c r="R25" s="123"/>
      <c r="S25" s="3"/>
      <c r="T25" s="3"/>
      <c r="U25" s="3"/>
      <c r="V25" s="3"/>
      <c r="W25" s="3"/>
      <c r="X25" s="3"/>
      <c r="Y25" s="3"/>
      <c r="Z25" s="3"/>
    </row>
    <row r="26">
      <c r="A26" s="157" t="s">
        <v>247</v>
      </c>
      <c r="B26" s="160" t="s">
        <v>248</v>
      </c>
      <c r="C26" s="159" t="s">
        <v>249</v>
      </c>
      <c r="D26" s="159" t="s">
        <v>246</v>
      </c>
      <c r="E26" s="159" t="s">
        <v>197</v>
      </c>
      <c r="F26" s="157" t="s">
        <v>6</v>
      </c>
      <c r="G26" s="157"/>
      <c r="H26" s="157"/>
      <c r="I26" s="157" t="s">
        <v>6</v>
      </c>
      <c r="J26" s="157"/>
      <c r="K26" s="157"/>
      <c r="L26" s="157" t="s">
        <v>22</v>
      </c>
      <c r="M26" s="157"/>
      <c r="N26" s="157"/>
      <c r="O26" s="157"/>
      <c r="P26" s="157" t="s">
        <v>78</v>
      </c>
      <c r="Q26" s="3"/>
      <c r="R26" s="123"/>
      <c r="S26" s="3"/>
      <c r="T26" s="3"/>
      <c r="U26" s="3"/>
      <c r="V26" s="3"/>
      <c r="W26" s="3"/>
      <c r="X26" s="3"/>
      <c r="Y26" s="3"/>
      <c r="Z26" s="3"/>
    </row>
    <row r="27">
      <c r="A27" s="157" t="s">
        <v>250</v>
      </c>
      <c r="B27" s="157" t="s">
        <v>251</v>
      </c>
      <c r="C27" s="159" t="s">
        <v>252</v>
      </c>
      <c r="D27" s="159" t="s">
        <v>253</v>
      </c>
      <c r="E27" s="159" t="s">
        <v>197</v>
      </c>
      <c r="F27" s="157" t="s">
        <v>6</v>
      </c>
      <c r="G27" s="157"/>
      <c r="H27" s="157"/>
      <c r="I27" s="157" t="s">
        <v>6</v>
      </c>
      <c r="J27" s="157"/>
      <c r="K27" s="157"/>
      <c r="L27" s="157" t="s">
        <v>22</v>
      </c>
      <c r="M27" s="157"/>
      <c r="N27" s="157"/>
      <c r="O27" s="157"/>
      <c r="P27" s="157" t="s">
        <v>78</v>
      </c>
      <c r="Q27" s="3"/>
      <c r="R27" s="123"/>
      <c r="S27" s="3"/>
      <c r="T27" s="3"/>
      <c r="U27" s="3"/>
      <c r="V27" s="3"/>
      <c r="W27" s="3"/>
      <c r="X27" s="3"/>
      <c r="Y27" s="3"/>
      <c r="Z27" s="3"/>
    </row>
    <row r="28">
      <c r="A28" s="157" t="s">
        <v>254</v>
      </c>
      <c r="B28" s="157" t="s">
        <v>255</v>
      </c>
      <c r="C28" s="159" t="s">
        <v>256</v>
      </c>
      <c r="D28" s="159" t="s">
        <v>257</v>
      </c>
      <c r="E28" s="159" t="s">
        <v>197</v>
      </c>
      <c r="F28" s="157" t="s">
        <v>6</v>
      </c>
      <c r="G28" s="157"/>
      <c r="H28" s="157"/>
      <c r="I28" s="157" t="s">
        <v>6</v>
      </c>
      <c r="J28" s="157"/>
      <c r="K28" s="157"/>
      <c r="L28" s="157" t="s">
        <v>22</v>
      </c>
      <c r="M28" s="157"/>
      <c r="N28" s="157"/>
      <c r="O28" s="157"/>
      <c r="P28" s="157" t="s">
        <v>78</v>
      </c>
      <c r="Q28" s="3"/>
      <c r="R28" s="123"/>
      <c r="S28" s="3"/>
      <c r="T28" s="3"/>
      <c r="U28" s="3"/>
      <c r="V28" s="3"/>
      <c r="W28" s="3"/>
      <c r="X28" s="3"/>
      <c r="Y28" s="3"/>
      <c r="Z28" s="3"/>
    </row>
    <row r="29">
      <c r="A29" s="160" t="s">
        <v>258</v>
      </c>
      <c r="B29" s="160" t="s">
        <v>259</v>
      </c>
      <c r="C29" s="159" t="s">
        <v>260</v>
      </c>
      <c r="D29" s="159" t="s">
        <v>261</v>
      </c>
      <c r="E29" s="159" t="s">
        <v>262</v>
      </c>
      <c r="F29" s="160" t="s">
        <v>6</v>
      </c>
      <c r="G29" s="157"/>
      <c r="H29" s="157"/>
      <c r="I29" s="160" t="s">
        <v>6</v>
      </c>
      <c r="J29" s="157"/>
      <c r="K29" s="157"/>
      <c r="L29" s="160" t="s">
        <v>22</v>
      </c>
      <c r="M29" s="157"/>
      <c r="N29" s="157"/>
      <c r="O29" s="157"/>
      <c r="P29" s="160" t="s">
        <v>78</v>
      </c>
      <c r="Q29" s="3"/>
      <c r="R29" s="123"/>
      <c r="S29" s="3"/>
      <c r="T29" s="3"/>
      <c r="U29" s="3"/>
      <c r="V29" s="3"/>
      <c r="W29" s="3"/>
      <c r="X29" s="3"/>
      <c r="Y29" s="3"/>
      <c r="Z29" s="3"/>
    </row>
    <row r="30">
      <c r="A30" s="160" t="s">
        <v>263</v>
      </c>
      <c r="B30" s="160" t="s">
        <v>264</v>
      </c>
      <c r="C30" s="159" t="s">
        <v>265</v>
      </c>
      <c r="D30" s="159" t="s">
        <v>266</v>
      </c>
      <c r="E30" s="159" t="s">
        <v>267</v>
      </c>
      <c r="F30" s="157" t="s">
        <v>6</v>
      </c>
      <c r="G30" s="157"/>
      <c r="H30" s="157"/>
      <c r="I30" s="157" t="s">
        <v>6</v>
      </c>
      <c r="J30" s="157"/>
      <c r="K30" s="157"/>
      <c r="L30" s="157" t="s">
        <v>22</v>
      </c>
      <c r="M30" s="157"/>
      <c r="N30" s="157"/>
      <c r="O30" s="157"/>
      <c r="P30" s="157" t="s">
        <v>78</v>
      </c>
      <c r="Q30" s="3"/>
      <c r="R30" s="123"/>
      <c r="S30" s="3"/>
      <c r="T30" s="3"/>
      <c r="U30" s="3"/>
      <c r="V30" s="3"/>
      <c r="W30" s="3"/>
      <c r="X30" s="3"/>
      <c r="Y30" s="3"/>
      <c r="Z30" s="3"/>
    </row>
    <row r="31">
      <c r="A31" s="153" t="s">
        <v>268</v>
      </c>
      <c r="B31" s="161"/>
      <c r="C31" s="162"/>
      <c r="D31" s="163"/>
      <c r="E31" s="163"/>
      <c r="F31" s="163"/>
      <c r="G31" s="163"/>
      <c r="H31" s="163"/>
      <c r="I31" s="163"/>
      <c r="J31" s="163"/>
      <c r="K31" s="163"/>
      <c r="L31" s="163"/>
      <c r="M31" s="163"/>
      <c r="N31" s="163"/>
      <c r="O31" s="163"/>
      <c r="P31" s="164"/>
      <c r="Q31" s="32"/>
      <c r="R31" s="118"/>
      <c r="S31" s="32"/>
      <c r="T31" s="32"/>
      <c r="U31" s="32"/>
      <c r="V31" s="32"/>
      <c r="W31" s="32"/>
      <c r="X31" s="32"/>
      <c r="Y31" s="32"/>
      <c r="Z31" s="32"/>
    </row>
    <row r="32">
      <c r="A32" s="160" t="s">
        <v>269</v>
      </c>
      <c r="B32" s="159" t="s">
        <v>270</v>
      </c>
      <c r="C32" s="159" t="s">
        <v>271</v>
      </c>
      <c r="D32" s="159" t="s">
        <v>272</v>
      </c>
      <c r="E32" s="159" t="s">
        <v>273</v>
      </c>
      <c r="F32" s="157" t="s">
        <v>6</v>
      </c>
      <c r="G32" s="157"/>
      <c r="H32" s="157"/>
      <c r="I32" s="157" t="s">
        <v>6</v>
      </c>
      <c r="J32" s="157"/>
      <c r="K32" s="157"/>
      <c r="L32" s="157" t="s">
        <v>22</v>
      </c>
      <c r="M32" s="157"/>
      <c r="N32" s="157"/>
      <c r="O32" s="157"/>
      <c r="P32" s="157" t="s">
        <v>78</v>
      </c>
      <c r="Q32" s="3"/>
      <c r="R32" s="123"/>
      <c r="S32" s="3"/>
      <c r="T32" s="3"/>
      <c r="U32" s="3"/>
      <c r="V32" s="3"/>
      <c r="W32" s="3"/>
      <c r="X32" s="3"/>
      <c r="Y32" s="3"/>
      <c r="Z32" s="3"/>
    </row>
    <row r="33">
      <c r="A33" s="160" t="s">
        <v>274</v>
      </c>
      <c r="B33" s="159" t="s">
        <v>275</v>
      </c>
      <c r="C33" s="159" t="s">
        <v>276</v>
      </c>
      <c r="D33" s="159" t="s">
        <v>277</v>
      </c>
      <c r="E33" s="159" t="s">
        <v>273</v>
      </c>
      <c r="F33" s="157" t="s">
        <v>6</v>
      </c>
      <c r="G33" s="165"/>
      <c r="H33" s="165"/>
      <c r="I33" s="157" t="s">
        <v>6</v>
      </c>
      <c r="J33" s="165"/>
      <c r="K33" s="165"/>
      <c r="L33" s="157" t="s">
        <v>22</v>
      </c>
      <c r="M33" s="165"/>
      <c r="N33" s="165"/>
      <c r="O33" s="165"/>
      <c r="P33" s="166" t="s">
        <v>78</v>
      </c>
      <c r="Q33" s="3"/>
      <c r="R33" s="5"/>
      <c r="S33" s="3"/>
      <c r="T33" s="3"/>
      <c r="U33" s="3"/>
      <c r="V33" s="3"/>
      <c r="W33" s="3"/>
      <c r="X33" s="3"/>
      <c r="Y33" s="3"/>
      <c r="Z33" s="3"/>
    </row>
    <row r="34">
      <c r="A34" s="160" t="s">
        <v>278</v>
      </c>
      <c r="B34" s="159" t="s">
        <v>279</v>
      </c>
      <c r="C34" s="159" t="s">
        <v>280</v>
      </c>
      <c r="D34" s="159" t="s">
        <v>281</v>
      </c>
      <c r="E34" s="159" t="s">
        <v>273</v>
      </c>
      <c r="F34" s="157" t="s">
        <v>6</v>
      </c>
      <c r="G34" s="165"/>
      <c r="H34" s="165"/>
      <c r="I34" s="157" t="s">
        <v>6</v>
      </c>
      <c r="J34" s="165"/>
      <c r="K34" s="165"/>
      <c r="L34" s="157" t="s">
        <v>22</v>
      </c>
      <c r="M34" s="165"/>
      <c r="N34" s="165"/>
      <c r="O34" s="165"/>
      <c r="P34" s="166" t="s">
        <v>78</v>
      </c>
      <c r="Q34" s="3"/>
      <c r="R34" s="5"/>
      <c r="S34" s="3"/>
      <c r="T34" s="3"/>
      <c r="U34" s="3"/>
      <c r="V34" s="3"/>
      <c r="W34" s="3"/>
      <c r="X34" s="3"/>
      <c r="Y34" s="3"/>
      <c r="Z34" s="3"/>
    </row>
    <row r="35">
      <c r="A35" s="160" t="s">
        <v>282</v>
      </c>
      <c r="B35" s="159" t="s">
        <v>283</v>
      </c>
      <c r="C35" s="159" t="s">
        <v>284</v>
      </c>
      <c r="D35" s="159" t="s">
        <v>285</v>
      </c>
      <c r="E35" s="159" t="s">
        <v>286</v>
      </c>
      <c r="F35" s="157" t="s">
        <v>6</v>
      </c>
      <c r="G35" s="165"/>
      <c r="H35" s="165"/>
      <c r="I35" s="157" t="s">
        <v>6</v>
      </c>
      <c r="J35" s="165"/>
      <c r="K35" s="165"/>
      <c r="L35" s="157" t="s">
        <v>22</v>
      </c>
      <c r="M35" s="165"/>
      <c r="N35" s="165"/>
      <c r="O35" s="165"/>
      <c r="P35" s="166" t="s">
        <v>78</v>
      </c>
      <c r="Q35" s="3"/>
      <c r="R35" s="5"/>
      <c r="S35" s="3"/>
      <c r="T35" s="3"/>
      <c r="U35" s="3"/>
      <c r="V35" s="3"/>
      <c r="W35" s="3"/>
      <c r="X35" s="3"/>
      <c r="Y35" s="3"/>
      <c r="Z35" s="3"/>
    </row>
    <row r="36">
      <c r="A36" s="160" t="s">
        <v>287</v>
      </c>
      <c r="B36" s="159" t="s">
        <v>288</v>
      </c>
      <c r="C36" s="159" t="s">
        <v>289</v>
      </c>
      <c r="D36" s="159" t="s">
        <v>290</v>
      </c>
      <c r="E36" s="159" t="s">
        <v>291</v>
      </c>
      <c r="F36" s="157" t="s">
        <v>6</v>
      </c>
      <c r="G36" s="165"/>
      <c r="H36" s="165"/>
      <c r="I36" s="157" t="s">
        <v>6</v>
      </c>
      <c r="J36" s="165"/>
      <c r="K36" s="165"/>
      <c r="L36" s="157" t="s">
        <v>22</v>
      </c>
      <c r="M36" s="165"/>
      <c r="N36" s="165"/>
      <c r="O36" s="165"/>
      <c r="P36" s="166" t="s">
        <v>78</v>
      </c>
      <c r="Q36" s="3"/>
      <c r="R36" s="5"/>
      <c r="S36" s="3"/>
      <c r="T36" s="3"/>
      <c r="U36" s="3"/>
      <c r="V36" s="3"/>
      <c r="W36" s="3"/>
      <c r="X36" s="3"/>
      <c r="Y36" s="3"/>
      <c r="Z36" s="3"/>
    </row>
    <row r="37">
      <c r="A37" s="160" t="s">
        <v>292</v>
      </c>
      <c r="B37" s="159" t="s">
        <v>293</v>
      </c>
      <c r="C37" s="159" t="s">
        <v>294</v>
      </c>
      <c r="D37" s="159" t="s">
        <v>295</v>
      </c>
      <c r="E37" s="159" t="s">
        <v>296</v>
      </c>
      <c r="F37" s="157" t="s">
        <v>6</v>
      </c>
      <c r="G37" s="165"/>
      <c r="H37" s="165"/>
      <c r="I37" s="157" t="s">
        <v>6</v>
      </c>
      <c r="J37" s="165"/>
      <c r="K37" s="165"/>
      <c r="L37" s="157" t="s">
        <v>22</v>
      </c>
      <c r="M37" s="165"/>
      <c r="N37" s="165"/>
      <c r="O37" s="165"/>
      <c r="P37" s="166" t="s">
        <v>78</v>
      </c>
      <c r="Q37" s="3"/>
      <c r="R37" s="5"/>
      <c r="S37" s="3"/>
      <c r="T37" s="3"/>
      <c r="U37" s="3"/>
      <c r="V37" s="3"/>
      <c r="W37" s="3"/>
      <c r="X37" s="3"/>
      <c r="Y37" s="3"/>
      <c r="Z37" s="3"/>
    </row>
    <row r="38">
      <c r="A38" s="160" t="s">
        <v>297</v>
      </c>
      <c r="B38" s="159" t="s">
        <v>298</v>
      </c>
      <c r="C38" s="159" t="s">
        <v>299</v>
      </c>
      <c r="D38" s="159" t="s">
        <v>300</v>
      </c>
      <c r="E38" s="159" t="s">
        <v>301</v>
      </c>
      <c r="F38" s="157" t="s">
        <v>6</v>
      </c>
      <c r="G38" s="165"/>
      <c r="H38" s="165"/>
      <c r="I38" s="157" t="s">
        <v>6</v>
      </c>
      <c r="J38" s="165"/>
      <c r="K38" s="165"/>
      <c r="L38" s="157" t="s">
        <v>22</v>
      </c>
      <c r="M38" s="165"/>
      <c r="N38" s="165"/>
      <c r="O38" s="165"/>
      <c r="P38" s="166" t="s">
        <v>78</v>
      </c>
      <c r="Q38" s="3"/>
      <c r="R38" s="5"/>
      <c r="S38" s="3"/>
      <c r="T38" s="3"/>
      <c r="U38" s="3"/>
      <c r="V38" s="3"/>
      <c r="W38" s="3"/>
      <c r="X38" s="3"/>
      <c r="Y38" s="3"/>
      <c r="Z38" s="3"/>
    </row>
    <row r="39">
      <c r="A39" s="160" t="s">
        <v>303</v>
      </c>
      <c r="B39" s="159" t="s">
        <v>304</v>
      </c>
      <c r="C39" s="159" t="s">
        <v>305</v>
      </c>
      <c r="D39" s="159" t="s">
        <v>306</v>
      </c>
      <c r="E39" s="159" t="s">
        <v>307</v>
      </c>
      <c r="F39" s="157" t="s">
        <v>6</v>
      </c>
      <c r="G39" s="165"/>
      <c r="H39" s="165"/>
      <c r="I39" s="157" t="s">
        <v>6</v>
      </c>
      <c r="J39" s="165"/>
      <c r="K39" s="165"/>
      <c r="L39" s="157" t="s">
        <v>22</v>
      </c>
      <c r="M39" s="165"/>
      <c r="N39" s="165"/>
      <c r="O39" s="165"/>
      <c r="P39" s="166" t="s">
        <v>78</v>
      </c>
      <c r="Q39" s="3"/>
      <c r="R39" s="5"/>
      <c r="S39" s="3"/>
      <c r="T39" s="3"/>
      <c r="U39" s="3"/>
      <c r="V39" s="3"/>
      <c r="W39" s="3"/>
      <c r="X39" s="3"/>
      <c r="Y39" s="3"/>
      <c r="Z39" s="3"/>
    </row>
    <row r="40">
      <c r="A40" s="160" t="s">
        <v>308</v>
      </c>
      <c r="B40" s="159" t="s">
        <v>309</v>
      </c>
      <c r="C40" s="159" t="s">
        <v>310</v>
      </c>
      <c r="D40" s="159" t="s">
        <v>311</v>
      </c>
      <c r="E40" s="159" t="s">
        <v>312</v>
      </c>
      <c r="F40" s="157" t="s">
        <v>6</v>
      </c>
      <c r="G40" s="165"/>
      <c r="H40" s="165"/>
      <c r="I40" s="157" t="s">
        <v>6</v>
      </c>
      <c r="J40" s="165"/>
      <c r="K40" s="165"/>
      <c r="L40" s="157" t="s">
        <v>22</v>
      </c>
      <c r="M40" s="165"/>
      <c r="N40" s="165"/>
      <c r="O40" s="165"/>
      <c r="P40" s="166" t="s">
        <v>78</v>
      </c>
      <c r="Q40" s="3"/>
      <c r="R40" s="5"/>
      <c r="S40" s="3"/>
      <c r="T40" s="3"/>
      <c r="U40" s="3"/>
      <c r="V40" s="3"/>
      <c r="W40" s="3"/>
      <c r="X40" s="3"/>
      <c r="Y40" s="3"/>
      <c r="Z40" s="3"/>
    </row>
    <row r="41">
      <c r="A41" s="160" t="s">
        <v>313</v>
      </c>
      <c r="B41" s="159" t="s">
        <v>314</v>
      </c>
      <c r="C41" s="159" t="s">
        <v>316</v>
      </c>
      <c r="D41" s="159" t="s">
        <v>317</v>
      </c>
      <c r="E41" s="159" t="s">
        <v>318</v>
      </c>
      <c r="F41" s="157" t="s">
        <v>6</v>
      </c>
      <c r="G41" s="165"/>
      <c r="H41" s="165"/>
      <c r="I41" s="157" t="s">
        <v>6</v>
      </c>
      <c r="J41" s="165"/>
      <c r="K41" s="165"/>
      <c r="L41" s="157" t="s">
        <v>22</v>
      </c>
      <c r="M41" s="165"/>
      <c r="N41" s="165"/>
      <c r="O41" s="165"/>
      <c r="P41" s="166" t="s">
        <v>78</v>
      </c>
      <c r="Q41" s="3"/>
      <c r="R41" s="5"/>
      <c r="S41" s="3"/>
      <c r="T41" s="3"/>
      <c r="U41" s="3"/>
      <c r="V41" s="3"/>
      <c r="W41" s="3"/>
      <c r="X41" s="3"/>
      <c r="Y41" s="3"/>
      <c r="Z41" s="3"/>
    </row>
    <row r="42">
      <c r="A42" s="160" t="s">
        <v>319</v>
      </c>
      <c r="B42" s="159" t="s">
        <v>320</v>
      </c>
      <c r="C42" s="159" t="s">
        <v>321</v>
      </c>
      <c r="D42" s="159" t="s">
        <v>322</v>
      </c>
      <c r="E42" s="159" t="s">
        <v>323</v>
      </c>
      <c r="F42" s="157" t="s">
        <v>6</v>
      </c>
      <c r="G42" s="165"/>
      <c r="H42" s="165"/>
      <c r="I42" s="157" t="s">
        <v>6</v>
      </c>
      <c r="J42" s="165"/>
      <c r="K42" s="165"/>
      <c r="L42" s="157" t="s">
        <v>22</v>
      </c>
      <c r="M42" s="165"/>
      <c r="N42" s="165"/>
      <c r="O42" s="165"/>
      <c r="P42" s="166" t="s">
        <v>78</v>
      </c>
      <c r="Q42" s="3"/>
      <c r="R42" s="5"/>
      <c r="S42" s="3"/>
      <c r="T42" s="3"/>
      <c r="U42" s="3"/>
      <c r="V42" s="3"/>
      <c r="W42" s="3"/>
      <c r="X42" s="3"/>
      <c r="Y42" s="3"/>
      <c r="Z42" s="3"/>
    </row>
    <row r="43">
      <c r="A43" s="167" t="s">
        <v>324</v>
      </c>
      <c r="B43" s="168"/>
      <c r="C43" s="169"/>
      <c r="D43" s="170"/>
      <c r="E43" s="170"/>
      <c r="F43" s="170"/>
      <c r="G43" s="170"/>
      <c r="H43" s="170"/>
      <c r="I43" s="170"/>
      <c r="J43" s="170"/>
      <c r="K43" s="170"/>
      <c r="L43" s="170"/>
      <c r="M43" s="170"/>
      <c r="N43" s="170"/>
      <c r="O43" s="170"/>
      <c r="P43" s="171"/>
      <c r="Q43" s="3"/>
      <c r="R43" s="5"/>
      <c r="S43" s="3"/>
      <c r="T43" s="3"/>
      <c r="U43" s="3"/>
      <c r="V43" s="3"/>
      <c r="W43" s="3"/>
      <c r="X43" s="3"/>
      <c r="Y43" s="3"/>
      <c r="Z43" s="3"/>
    </row>
    <row r="44">
      <c r="A44" s="172" t="s">
        <v>325</v>
      </c>
      <c r="B44" s="159" t="s">
        <v>326</v>
      </c>
      <c r="C44" s="159" t="s">
        <v>327</v>
      </c>
      <c r="D44" s="159" t="s">
        <v>328</v>
      </c>
      <c r="E44" s="159" t="s">
        <v>329</v>
      </c>
      <c r="F44" s="174" t="s">
        <v>6</v>
      </c>
      <c r="G44" s="175"/>
      <c r="H44" s="175"/>
      <c r="I44" s="174" t="s">
        <v>6</v>
      </c>
      <c r="J44" s="175"/>
      <c r="K44" s="175"/>
      <c r="L44" s="174" t="s">
        <v>22</v>
      </c>
      <c r="M44" s="175"/>
      <c r="N44" s="175"/>
      <c r="O44" s="175"/>
      <c r="P44" s="176" t="s">
        <v>78</v>
      </c>
      <c r="Q44" s="3"/>
      <c r="R44" s="5"/>
      <c r="S44" s="3"/>
      <c r="T44" s="3"/>
      <c r="U44" s="3"/>
      <c r="V44" s="3"/>
      <c r="W44" s="3"/>
      <c r="X44" s="3"/>
      <c r="Y44" s="3"/>
      <c r="Z44" s="3"/>
    </row>
    <row r="45">
      <c r="A45" s="172" t="s">
        <v>330</v>
      </c>
      <c r="B45" s="159" t="s">
        <v>331</v>
      </c>
      <c r="C45" s="159" t="s">
        <v>332</v>
      </c>
      <c r="D45" s="159" t="s">
        <v>333</v>
      </c>
      <c r="E45" s="159" t="s">
        <v>334</v>
      </c>
      <c r="F45" s="174" t="s">
        <v>6</v>
      </c>
      <c r="G45" s="175"/>
      <c r="H45" s="175"/>
      <c r="I45" s="174" t="s">
        <v>6</v>
      </c>
      <c r="J45" s="175"/>
      <c r="K45" s="175"/>
      <c r="L45" s="174" t="s">
        <v>22</v>
      </c>
      <c r="M45" s="175"/>
      <c r="N45" s="175"/>
      <c r="O45" s="175"/>
      <c r="P45" s="176" t="s">
        <v>78</v>
      </c>
      <c r="Q45" s="3"/>
      <c r="R45" s="5"/>
      <c r="S45" s="3"/>
      <c r="T45" s="3"/>
      <c r="U45" s="3"/>
      <c r="V45" s="3"/>
      <c r="W45" s="3"/>
      <c r="X45" s="3"/>
      <c r="Y45" s="3"/>
      <c r="Z45" s="3"/>
    </row>
    <row r="46">
      <c r="A46" s="172" t="s">
        <v>335</v>
      </c>
      <c r="B46" s="159" t="s">
        <v>336</v>
      </c>
      <c r="C46" s="159" t="s">
        <v>337</v>
      </c>
      <c r="D46" s="159" t="s">
        <v>338</v>
      </c>
      <c r="E46" s="159" t="s">
        <v>339</v>
      </c>
      <c r="F46" s="174" t="s">
        <v>6</v>
      </c>
      <c r="G46" s="175"/>
      <c r="H46" s="175"/>
      <c r="I46" s="174" t="s">
        <v>6</v>
      </c>
      <c r="J46" s="175"/>
      <c r="K46" s="175"/>
      <c r="L46" s="174" t="s">
        <v>22</v>
      </c>
      <c r="M46" s="175"/>
      <c r="N46" s="175"/>
      <c r="O46" s="175"/>
      <c r="P46" s="176" t="s">
        <v>78</v>
      </c>
      <c r="Q46" s="3"/>
      <c r="R46" s="5"/>
      <c r="S46" s="3"/>
      <c r="T46" s="3"/>
      <c r="U46" s="3"/>
      <c r="V46" s="3"/>
      <c r="W46" s="3"/>
      <c r="X46" s="3"/>
      <c r="Y46" s="3"/>
      <c r="Z46" s="3"/>
    </row>
    <row r="47">
      <c r="A47" s="172" t="s">
        <v>340</v>
      </c>
      <c r="B47" s="159" t="s">
        <v>341</v>
      </c>
      <c r="C47" s="159" t="s">
        <v>342</v>
      </c>
      <c r="D47" s="159" t="s">
        <v>343</v>
      </c>
      <c r="E47" s="159" t="s">
        <v>344</v>
      </c>
      <c r="F47" s="174" t="s">
        <v>14</v>
      </c>
      <c r="G47" s="175"/>
      <c r="H47" s="175"/>
      <c r="I47" s="174" t="s">
        <v>6</v>
      </c>
      <c r="J47" s="175"/>
      <c r="K47" s="175"/>
      <c r="L47" s="174" t="s">
        <v>22</v>
      </c>
      <c r="M47" s="175"/>
      <c r="N47" s="175"/>
      <c r="O47" s="177" t="s">
        <v>345</v>
      </c>
      <c r="P47" s="178" t="s">
        <v>346</v>
      </c>
      <c r="Q47" s="3"/>
      <c r="R47" s="5"/>
      <c r="S47" s="3"/>
      <c r="T47" s="3"/>
      <c r="U47" s="3"/>
      <c r="V47" s="3"/>
      <c r="W47" s="3"/>
      <c r="X47" s="3"/>
      <c r="Y47" s="3"/>
      <c r="Z47" s="3"/>
    </row>
    <row r="48">
      <c r="A48" s="172" t="s">
        <v>347</v>
      </c>
      <c r="B48" s="159" t="s">
        <v>348</v>
      </c>
      <c r="C48" s="159" t="s">
        <v>349</v>
      </c>
      <c r="D48" s="159" t="s">
        <v>350</v>
      </c>
      <c r="E48" s="159" t="s">
        <v>351</v>
      </c>
      <c r="F48" s="174" t="s">
        <v>6</v>
      </c>
      <c r="G48" s="175"/>
      <c r="H48" s="175"/>
      <c r="I48" s="174" t="s">
        <v>6</v>
      </c>
      <c r="J48" s="175"/>
      <c r="K48" s="175"/>
      <c r="L48" s="174" t="s">
        <v>22</v>
      </c>
      <c r="M48" s="175"/>
      <c r="N48" s="175"/>
      <c r="O48" s="175"/>
      <c r="P48" s="176" t="s">
        <v>78</v>
      </c>
      <c r="Q48" s="3"/>
      <c r="R48" s="5"/>
      <c r="S48" s="3"/>
      <c r="T48" s="3"/>
      <c r="U48" s="3"/>
      <c r="V48" s="3"/>
      <c r="W48" s="3"/>
      <c r="X48" s="3"/>
      <c r="Y48" s="3"/>
      <c r="Z48" s="3"/>
    </row>
    <row r="49">
      <c r="A49" s="172" t="s">
        <v>352</v>
      </c>
      <c r="B49" s="159" t="s">
        <v>353</v>
      </c>
      <c r="C49" s="159" t="s">
        <v>354</v>
      </c>
      <c r="D49" s="159" t="s">
        <v>355</v>
      </c>
      <c r="E49" s="159" t="s">
        <v>356</v>
      </c>
      <c r="F49" s="179" t="s">
        <v>6</v>
      </c>
      <c r="G49" s="175"/>
      <c r="H49" s="175"/>
      <c r="I49" s="179" t="s">
        <v>6</v>
      </c>
      <c r="J49" s="175"/>
      <c r="K49" s="175"/>
      <c r="L49" s="179" t="s">
        <v>22</v>
      </c>
      <c r="M49" s="175"/>
      <c r="N49" s="175"/>
      <c r="O49" s="175"/>
      <c r="P49" s="180" t="s">
        <v>78</v>
      </c>
      <c r="Q49" s="3"/>
      <c r="R49" s="5"/>
      <c r="S49" s="3"/>
      <c r="T49" s="3"/>
      <c r="U49" s="3"/>
      <c r="V49" s="3"/>
      <c r="W49" s="3"/>
      <c r="X49" s="3"/>
      <c r="Y49" s="3"/>
      <c r="Z49" s="3"/>
    </row>
    <row r="50">
      <c r="A50" s="172" t="s">
        <v>357</v>
      </c>
      <c r="B50" s="159" t="s">
        <v>358</v>
      </c>
      <c r="C50" s="159" t="s">
        <v>359</v>
      </c>
      <c r="D50" s="159" t="s">
        <v>360</v>
      </c>
      <c r="E50" s="159" t="s">
        <v>361</v>
      </c>
      <c r="F50" s="179" t="s">
        <v>6</v>
      </c>
      <c r="G50" s="175"/>
      <c r="H50" s="175"/>
      <c r="I50" s="179" t="s">
        <v>6</v>
      </c>
      <c r="J50" s="175"/>
      <c r="K50" s="175"/>
      <c r="L50" s="179" t="s">
        <v>22</v>
      </c>
      <c r="M50" s="175"/>
      <c r="N50" s="175"/>
      <c r="O50" s="175"/>
      <c r="P50" s="180" t="s">
        <v>78</v>
      </c>
      <c r="Q50" s="3"/>
      <c r="R50" s="5"/>
      <c r="S50" s="3"/>
      <c r="T50" s="3"/>
      <c r="U50" s="3"/>
      <c r="V50" s="3"/>
      <c r="W50" s="3"/>
      <c r="X50" s="3"/>
      <c r="Y50" s="3"/>
      <c r="Z50" s="3"/>
    </row>
    <row r="51">
      <c r="A51" s="172" t="s">
        <v>362</v>
      </c>
      <c r="B51" s="159" t="s">
        <v>363</v>
      </c>
      <c r="C51" s="159" t="s">
        <v>364</v>
      </c>
      <c r="D51" s="159" t="s">
        <v>365</v>
      </c>
      <c r="E51" s="159" t="s">
        <v>366</v>
      </c>
      <c r="F51" s="179" t="s">
        <v>6</v>
      </c>
      <c r="G51" s="175"/>
      <c r="H51" s="175"/>
      <c r="I51" s="179" t="s">
        <v>6</v>
      </c>
      <c r="J51" s="175"/>
      <c r="K51" s="175"/>
      <c r="L51" s="179" t="s">
        <v>22</v>
      </c>
      <c r="M51" s="175"/>
      <c r="N51" s="175"/>
      <c r="O51" s="175"/>
      <c r="P51" s="180" t="s">
        <v>78</v>
      </c>
      <c r="Q51" s="3"/>
      <c r="R51" s="5"/>
      <c r="S51" s="3"/>
      <c r="T51" s="3"/>
      <c r="U51" s="3"/>
      <c r="V51" s="3"/>
      <c r="W51" s="3"/>
      <c r="X51" s="3"/>
      <c r="Y51" s="3"/>
      <c r="Z51" s="3"/>
    </row>
    <row r="52">
      <c r="A52" s="172" t="s">
        <v>367</v>
      </c>
      <c r="B52" s="159" t="s">
        <v>368</v>
      </c>
      <c r="C52" s="159" t="s">
        <v>369</v>
      </c>
      <c r="D52" s="159" t="s">
        <v>370</v>
      </c>
      <c r="E52" s="159" t="s">
        <v>371</v>
      </c>
      <c r="F52" s="179" t="s">
        <v>6</v>
      </c>
      <c r="G52" s="175"/>
      <c r="H52" s="175"/>
      <c r="I52" s="179" t="s">
        <v>6</v>
      </c>
      <c r="J52" s="175"/>
      <c r="K52" s="175"/>
      <c r="L52" s="179" t="s">
        <v>22</v>
      </c>
      <c r="M52" s="175"/>
      <c r="N52" s="175"/>
      <c r="O52" s="175"/>
      <c r="P52" s="180" t="s">
        <v>78</v>
      </c>
      <c r="Q52" s="3"/>
      <c r="R52" s="5"/>
      <c r="S52" s="3"/>
      <c r="T52" s="3"/>
      <c r="U52" s="3"/>
      <c r="V52" s="3"/>
      <c r="W52" s="3"/>
      <c r="X52" s="3"/>
      <c r="Y52" s="3"/>
      <c r="Z52" s="3"/>
    </row>
    <row r="53">
      <c r="A53" s="160" t="s">
        <v>372</v>
      </c>
      <c r="B53" s="159" t="s">
        <v>373</v>
      </c>
      <c r="C53" s="159" t="s">
        <v>374</v>
      </c>
      <c r="D53" s="159" t="s">
        <v>375</v>
      </c>
      <c r="E53" s="159" t="s">
        <v>377</v>
      </c>
      <c r="F53" s="157" t="s">
        <v>6</v>
      </c>
      <c r="G53" s="165"/>
      <c r="H53" s="165"/>
      <c r="I53" s="157" t="s">
        <v>6</v>
      </c>
      <c r="J53" s="165"/>
      <c r="K53" s="165"/>
      <c r="L53" s="157" t="s">
        <v>22</v>
      </c>
      <c r="M53" s="165"/>
      <c r="N53" s="165"/>
      <c r="O53" s="165"/>
      <c r="P53" s="166" t="s">
        <v>78</v>
      </c>
      <c r="Q53" s="3"/>
      <c r="R53" s="5"/>
      <c r="S53" s="3"/>
      <c r="T53" s="3"/>
      <c r="U53" s="3"/>
      <c r="V53" s="3"/>
      <c r="W53" s="3"/>
      <c r="X53" s="3"/>
      <c r="Y53" s="3"/>
      <c r="Z53" s="3"/>
    </row>
    <row r="54">
      <c r="A54" s="192" t="s">
        <v>381</v>
      </c>
      <c r="B54" s="168"/>
      <c r="C54" s="169"/>
      <c r="D54" s="170"/>
      <c r="E54" s="170"/>
      <c r="F54" s="170"/>
      <c r="G54" s="170"/>
      <c r="H54" s="170"/>
      <c r="I54" s="170"/>
      <c r="J54" s="170"/>
      <c r="K54" s="170"/>
      <c r="L54" s="170"/>
      <c r="M54" s="170"/>
      <c r="N54" s="170"/>
      <c r="O54" s="170"/>
      <c r="P54" s="171"/>
      <c r="Q54" s="3"/>
      <c r="R54" s="5"/>
      <c r="S54" s="3"/>
      <c r="T54" s="3"/>
      <c r="U54" s="3"/>
      <c r="V54" s="3"/>
      <c r="W54" s="3"/>
      <c r="X54" s="3"/>
      <c r="Y54" s="3"/>
      <c r="Z54" s="3"/>
    </row>
    <row r="55">
      <c r="A55" s="172" t="s">
        <v>388</v>
      </c>
      <c r="B55" s="159" t="s">
        <v>389</v>
      </c>
      <c r="C55" s="159" t="s">
        <v>390</v>
      </c>
      <c r="D55" s="159" t="s">
        <v>391</v>
      </c>
      <c r="E55" s="159" t="s">
        <v>392</v>
      </c>
      <c r="F55" s="174" t="s">
        <v>6</v>
      </c>
      <c r="G55" s="175"/>
      <c r="H55" s="175"/>
      <c r="I55" s="174" t="s">
        <v>6</v>
      </c>
      <c r="J55" s="175"/>
      <c r="K55" s="175"/>
      <c r="L55" s="174" t="s">
        <v>22</v>
      </c>
      <c r="M55" s="175"/>
      <c r="N55" s="175"/>
      <c r="O55" s="175"/>
      <c r="P55" s="176" t="s">
        <v>78</v>
      </c>
      <c r="Q55" s="3"/>
      <c r="R55" s="5"/>
      <c r="S55" s="3"/>
      <c r="T55" s="3"/>
      <c r="U55" s="3"/>
      <c r="V55" s="3"/>
      <c r="W55" s="3"/>
      <c r="X55" s="3"/>
      <c r="Y55" s="3"/>
      <c r="Z55" s="3"/>
    </row>
    <row r="56">
      <c r="A56" s="172" t="s">
        <v>394</v>
      </c>
      <c r="B56" s="159" t="s">
        <v>395</v>
      </c>
      <c r="C56" s="159" t="s">
        <v>396</v>
      </c>
      <c r="D56" s="159" t="s">
        <v>397</v>
      </c>
      <c r="E56" s="159" t="s">
        <v>398</v>
      </c>
      <c r="F56" s="174" t="s">
        <v>6</v>
      </c>
      <c r="G56" s="175"/>
      <c r="H56" s="175"/>
      <c r="I56" s="174" t="s">
        <v>6</v>
      </c>
      <c r="J56" s="175"/>
      <c r="K56" s="175"/>
      <c r="L56" s="174" t="s">
        <v>22</v>
      </c>
      <c r="M56" s="175"/>
      <c r="N56" s="175"/>
      <c r="O56" s="175"/>
      <c r="P56" s="176" t="s">
        <v>78</v>
      </c>
      <c r="Q56" s="3"/>
      <c r="R56" s="5"/>
      <c r="S56" s="3"/>
      <c r="T56" s="3"/>
      <c r="U56" s="3"/>
      <c r="V56" s="3"/>
      <c r="W56" s="3"/>
      <c r="X56" s="3"/>
      <c r="Y56" s="3"/>
      <c r="Z56" s="3"/>
    </row>
    <row r="57">
      <c r="A57" s="172" t="s">
        <v>403</v>
      </c>
      <c r="B57" s="159" t="s">
        <v>404</v>
      </c>
      <c r="C57" s="159" t="s">
        <v>405</v>
      </c>
      <c r="D57" s="159" t="s">
        <v>406</v>
      </c>
      <c r="E57" s="159" t="s">
        <v>407</v>
      </c>
      <c r="F57" s="174" t="s">
        <v>6</v>
      </c>
      <c r="G57" s="175"/>
      <c r="H57" s="175"/>
      <c r="I57" s="174" t="s">
        <v>6</v>
      </c>
      <c r="J57" s="175"/>
      <c r="K57" s="175"/>
      <c r="L57" s="174" t="s">
        <v>22</v>
      </c>
      <c r="M57" s="175"/>
      <c r="N57" s="175"/>
      <c r="O57" s="175"/>
      <c r="P57" s="176" t="s">
        <v>78</v>
      </c>
      <c r="Q57" s="3"/>
      <c r="R57" s="5"/>
      <c r="S57" s="3"/>
      <c r="T57" s="3"/>
      <c r="U57" s="3"/>
      <c r="V57" s="3"/>
      <c r="W57" s="3"/>
      <c r="X57" s="3"/>
      <c r="Y57" s="3"/>
      <c r="Z57" s="3"/>
    </row>
    <row r="58">
      <c r="A58" s="160" t="s">
        <v>417</v>
      </c>
      <c r="B58" s="159" t="s">
        <v>418</v>
      </c>
      <c r="C58" s="159" t="s">
        <v>419</v>
      </c>
      <c r="D58" s="159" t="s">
        <v>420</v>
      </c>
      <c r="E58" s="159" t="s">
        <v>421</v>
      </c>
      <c r="F58" s="157" t="s">
        <v>6</v>
      </c>
      <c r="G58" s="165"/>
      <c r="H58" s="165"/>
      <c r="I58" s="157" t="s">
        <v>6</v>
      </c>
      <c r="J58" s="165"/>
      <c r="K58" s="165"/>
      <c r="L58" s="157" t="s">
        <v>22</v>
      </c>
      <c r="M58" s="165"/>
      <c r="N58" s="165"/>
      <c r="O58" s="165"/>
      <c r="P58" s="166" t="s">
        <v>78</v>
      </c>
      <c r="Q58" s="3"/>
      <c r="R58" s="5"/>
      <c r="S58" s="3"/>
      <c r="T58" s="3"/>
      <c r="U58" s="3"/>
      <c r="V58" s="3"/>
      <c r="W58" s="3"/>
      <c r="X58" s="3"/>
      <c r="Y58" s="3"/>
      <c r="Z58" s="3"/>
    </row>
    <row r="59">
      <c r="A59" s="167" t="s">
        <v>428</v>
      </c>
      <c r="B59" s="168"/>
      <c r="C59" s="169"/>
      <c r="D59" s="170"/>
      <c r="E59" s="170"/>
      <c r="F59" s="170"/>
      <c r="G59" s="170"/>
      <c r="H59" s="170"/>
      <c r="I59" s="170"/>
      <c r="J59" s="170"/>
      <c r="K59" s="170"/>
      <c r="L59" s="170"/>
      <c r="M59" s="170"/>
      <c r="N59" s="170"/>
      <c r="O59" s="170"/>
      <c r="P59" s="171"/>
      <c r="Q59" s="3"/>
      <c r="R59" s="5"/>
      <c r="S59" s="3"/>
      <c r="T59" s="3"/>
      <c r="U59" s="3"/>
      <c r="V59" s="3"/>
      <c r="W59" s="3"/>
      <c r="X59" s="3"/>
      <c r="Y59" s="3"/>
      <c r="Z59" s="3"/>
    </row>
    <row r="60">
      <c r="A60" s="160" t="s">
        <v>437</v>
      </c>
      <c r="B60" s="159" t="s">
        <v>438</v>
      </c>
      <c r="C60" s="159" t="s">
        <v>439</v>
      </c>
      <c r="D60" s="159" t="s">
        <v>440</v>
      </c>
      <c r="E60" s="159" t="s">
        <v>441</v>
      </c>
      <c r="F60" s="157" t="s">
        <v>6</v>
      </c>
      <c r="G60" s="165"/>
      <c r="H60" s="165"/>
      <c r="I60" s="157" t="s">
        <v>6</v>
      </c>
      <c r="J60" s="165"/>
      <c r="K60" s="165"/>
      <c r="L60" s="157" t="s">
        <v>22</v>
      </c>
      <c r="M60" s="165"/>
      <c r="N60" s="165"/>
      <c r="O60" s="165"/>
      <c r="P60" s="166" t="s">
        <v>78</v>
      </c>
      <c r="Q60" s="3"/>
      <c r="R60" s="5"/>
      <c r="S60" s="3"/>
      <c r="T60" s="3"/>
      <c r="U60" s="3"/>
      <c r="V60" s="3"/>
      <c r="W60" s="3"/>
      <c r="X60" s="3"/>
      <c r="Y60" s="3"/>
      <c r="Z60" s="3"/>
    </row>
    <row r="61">
      <c r="A61" s="160" t="s">
        <v>453</v>
      </c>
      <c r="B61" s="159" t="s">
        <v>455</v>
      </c>
      <c r="C61" s="159" t="s">
        <v>457</v>
      </c>
      <c r="D61" s="159" t="s">
        <v>459</v>
      </c>
      <c r="E61" s="159" t="s">
        <v>461</v>
      </c>
      <c r="F61" s="157" t="s">
        <v>6</v>
      </c>
      <c r="G61" s="165"/>
      <c r="H61" s="165"/>
      <c r="I61" s="157" t="s">
        <v>6</v>
      </c>
      <c r="J61" s="165"/>
      <c r="K61" s="165"/>
      <c r="L61" s="157" t="s">
        <v>22</v>
      </c>
      <c r="M61" s="165"/>
      <c r="N61" s="165"/>
      <c r="O61" s="165"/>
      <c r="P61" s="166" t="s">
        <v>78</v>
      </c>
      <c r="Q61" s="3"/>
      <c r="R61" s="5"/>
      <c r="S61" s="3"/>
      <c r="T61" s="3"/>
      <c r="U61" s="3"/>
      <c r="V61" s="3"/>
      <c r="W61" s="3"/>
      <c r="X61" s="3"/>
      <c r="Y61" s="3"/>
      <c r="Z61" s="3"/>
    </row>
    <row r="62">
      <c r="A62" s="160" t="s">
        <v>466</v>
      </c>
      <c r="B62" s="159" t="s">
        <v>467</v>
      </c>
      <c r="C62" s="159" t="s">
        <v>468</v>
      </c>
      <c r="D62" s="159" t="s">
        <v>469</v>
      </c>
      <c r="E62" s="159" t="s">
        <v>470</v>
      </c>
      <c r="F62" s="157" t="s">
        <v>6</v>
      </c>
      <c r="G62" s="165"/>
      <c r="H62" s="165"/>
      <c r="I62" s="157" t="s">
        <v>6</v>
      </c>
      <c r="J62" s="165"/>
      <c r="K62" s="165"/>
      <c r="L62" s="157" t="s">
        <v>22</v>
      </c>
      <c r="M62" s="165"/>
      <c r="N62" s="165"/>
      <c r="O62" s="165"/>
      <c r="P62" s="166" t="s">
        <v>78</v>
      </c>
      <c r="Q62" s="3"/>
      <c r="R62" s="5"/>
      <c r="S62" s="3"/>
      <c r="T62" s="3"/>
      <c r="U62" s="3"/>
      <c r="V62" s="3"/>
      <c r="W62" s="3"/>
      <c r="X62" s="3"/>
      <c r="Y62" s="3"/>
      <c r="Z62" s="3"/>
    </row>
    <row r="63">
      <c r="A63" s="160" t="s">
        <v>480</v>
      </c>
      <c r="B63" s="159" t="s">
        <v>481</v>
      </c>
      <c r="C63" s="159" t="s">
        <v>482</v>
      </c>
      <c r="D63" s="159" t="s">
        <v>483</v>
      </c>
      <c r="E63" s="159" t="s">
        <v>484</v>
      </c>
      <c r="F63" s="157" t="s">
        <v>6</v>
      </c>
      <c r="G63" s="165"/>
      <c r="H63" s="165"/>
      <c r="I63" s="157" t="s">
        <v>6</v>
      </c>
      <c r="J63" s="165"/>
      <c r="K63" s="165"/>
      <c r="L63" s="157" t="s">
        <v>22</v>
      </c>
      <c r="M63" s="165"/>
      <c r="N63" s="165"/>
      <c r="O63" s="165"/>
      <c r="P63" s="166" t="s">
        <v>78</v>
      </c>
      <c r="Q63" s="3"/>
      <c r="R63" s="5"/>
      <c r="S63" s="3"/>
      <c r="T63" s="3"/>
      <c r="U63" s="3"/>
      <c r="V63" s="3"/>
      <c r="W63" s="3"/>
      <c r="X63" s="3"/>
      <c r="Y63" s="3"/>
      <c r="Z63" s="3"/>
    </row>
    <row r="64">
      <c r="A64" s="160" t="s">
        <v>490</v>
      </c>
      <c r="B64" s="159" t="s">
        <v>491</v>
      </c>
      <c r="C64" s="159" t="s">
        <v>492</v>
      </c>
      <c r="D64" s="159" t="s">
        <v>493</v>
      </c>
      <c r="E64" s="159" t="s">
        <v>494</v>
      </c>
      <c r="F64" s="157" t="s">
        <v>6</v>
      </c>
      <c r="G64" s="165"/>
      <c r="H64" s="165"/>
      <c r="I64" s="157" t="s">
        <v>6</v>
      </c>
      <c r="J64" s="165"/>
      <c r="K64" s="165"/>
      <c r="L64" s="157" t="s">
        <v>22</v>
      </c>
      <c r="M64" s="165"/>
      <c r="N64" s="165"/>
      <c r="O64" s="165"/>
      <c r="P64" s="166" t="s">
        <v>78</v>
      </c>
      <c r="Q64" s="3"/>
      <c r="R64" s="5"/>
      <c r="S64" s="3"/>
      <c r="T64" s="3"/>
      <c r="U64" s="3"/>
      <c r="V64" s="3"/>
      <c r="W64" s="3"/>
      <c r="X64" s="3"/>
      <c r="Y64" s="3"/>
      <c r="Z64" s="3"/>
    </row>
    <row r="65">
      <c r="A65" s="160" t="s">
        <v>495</v>
      </c>
      <c r="B65" s="159" t="s">
        <v>496</v>
      </c>
      <c r="C65" s="159" t="s">
        <v>497</v>
      </c>
      <c r="D65" s="159" t="s">
        <v>499</v>
      </c>
      <c r="E65" s="159" t="s">
        <v>501</v>
      </c>
      <c r="F65" s="160" t="s">
        <v>6</v>
      </c>
      <c r="G65" s="165"/>
      <c r="H65" s="165"/>
      <c r="I65" s="160" t="s">
        <v>6</v>
      </c>
      <c r="J65" s="165"/>
      <c r="K65" s="165"/>
      <c r="L65" s="160" t="s">
        <v>22</v>
      </c>
      <c r="M65" s="165"/>
      <c r="N65" s="165"/>
      <c r="O65" s="165"/>
      <c r="P65" s="202" t="s">
        <v>78</v>
      </c>
      <c r="Q65" s="3"/>
      <c r="R65" s="5"/>
      <c r="S65" s="3"/>
      <c r="T65" s="3"/>
      <c r="U65" s="3"/>
      <c r="V65" s="3"/>
      <c r="W65" s="3"/>
      <c r="X65" s="3"/>
      <c r="Y65" s="3"/>
      <c r="Z65" s="3"/>
    </row>
    <row r="66">
      <c r="A66" s="160" t="s">
        <v>510</v>
      </c>
      <c r="B66" s="159" t="s">
        <v>513</v>
      </c>
      <c r="C66" s="159" t="s">
        <v>515</v>
      </c>
      <c r="D66" s="159" t="s">
        <v>516</v>
      </c>
      <c r="E66" s="159" t="s">
        <v>517</v>
      </c>
      <c r="F66" s="160" t="s">
        <v>6</v>
      </c>
      <c r="G66" s="165"/>
      <c r="H66" s="165"/>
      <c r="I66" s="160" t="s">
        <v>6</v>
      </c>
      <c r="J66" s="165"/>
      <c r="K66" s="165"/>
      <c r="L66" s="160" t="s">
        <v>22</v>
      </c>
      <c r="M66" s="165"/>
      <c r="N66" s="165"/>
      <c r="O66" s="165"/>
      <c r="P66" s="202" t="s">
        <v>78</v>
      </c>
      <c r="Q66" s="3"/>
      <c r="R66" s="5"/>
      <c r="S66" s="3"/>
      <c r="T66" s="3"/>
      <c r="U66" s="3"/>
      <c r="V66" s="3"/>
      <c r="W66" s="3"/>
      <c r="X66" s="3"/>
      <c r="Y66" s="3"/>
      <c r="Z66" s="3"/>
    </row>
    <row r="67">
      <c r="A67" s="160" t="s">
        <v>522</v>
      </c>
      <c r="B67" s="159" t="s">
        <v>523</v>
      </c>
      <c r="C67" s="159" t="s">
        <v>524</v>
      </c>
      <c r="D67" s="159" t="s">
        <v>525</v>
      </c>
      <c r="E67" s="159" t="s">
        <v>526</v>
      </c>
      <c r="F67" s="157" t="s">
        <v>6</v>
      </c>
      <c r="G67" s="165"/>
      <c r="H67" s="165"/>
      <c r="I67" s="157" t="s">
        <v>6</v>
      </c>
      <c r="J67" s="165"/>
      <c r="K67" s="165"/>
      <c r="L67" s="157" t="s">
        <v>22</v>
      </c>
      <c r="M67" s="165"/>
      <c r="N67" s="165"/>
      <c r="O67" s="165"/>
      <c r="P67" s="166" t="s">
        <v>78</v>
      </c>
      <c r="Q67" s="3"/>
      <c r="R67" s="5"/>
      <c r="S67" s="3"/>
      <c r="T67" s="3"/>
      <c r="U67" s="3"/>
      <c r="V67" s="3"/>
      <c r="W67" s="3"/>
      <c r="X67" s="3"/>
      <c r="Y67" s="3"/>
      <c r="Z67" s="3"/>
    </row>
    <row r="68" ht="12.75" customHeight="1">
      <c r="A68" s="3"/>
      <c r="B68" s="3"/>
      <c r="C68" s="3"/>
      <c r="D68" s="3"/>
      <c r="E68" s="3"/>
      <c r="F68" s="3"/>
      <c r="G68" s="3"/>
      <c r="H68" s="3"/>
      <c r="I68" s="3"/>
      <c r="J68" s="3"/>
      <c r="K68" s="3"/>
      <c r="L68" s="3"/>
      <c r="M68" s="3"/>
      <c r="N68" s="3"/>
      <c r="O68" s="3"/>
      <c r="P68" s="3"/>
      <c r="Q68" s="3"/>
      <c r="R68" s="5"/>
      <c r="S68" s="3"/>
      <c r="T68" s="3"/>
      <c r="U68" s="3"/>
      <c r="V68" s="3"/>
      <c r="W68" s="3"/>
      <c r="X68" s="3"/>
      <c r="Y68" s="3"/>
      <c r="Z68" s="3"/>
    </row>
    <row r="69" ht="12.75" customHeight="1">
      <c r="A69" s="3"/>
      <c r="B69" s="3"/>
      <c r="C69" s="3"/>
      <c r="D69" s="3"/>
      <c r="E69" s="3"/>
      <c r="F69" s="3"/>
      <c r="G69" s="3"/>
      <c r="H69" s="3"/>
      <c r="I69" s="3"/>
      <c r="J69" s="3"/>
      <c r="K69" s="3"/>
      <c r="L69" s="3"/>
      <c r="M69" s="3"/>
      <c r="N69" s="3"/>
      <c r="O69" s="3"/>
      <c r="P69" s="3"/>
      <c r="Q69" s="3"/>
      <c r="R69" s="5"/>
      <c r="S69" s="3"/>
      <c r="T69" s="3"/>
      <c r="U69" s="3"/>
      <c r="V69" s="3"/>
      <c r="W69" s="3"/>
      <c r="X69" s="3"/>
      <c r="Y69" s="3"/>
      <c r="Z69" s="3"/>
    </row>
    <row r="70" ht="12.75" customHeight="1">
      <c r="A70" s="3"/>
      <c r="B70" s="3"/>
      <c r="C70" s="3"/>
      <c r="D70" s="3"/>
      <c r="E70" s="3"/>
      <c r="F70" s="3"/>
      <c r="G70" s="3"/>
      <c r="H70" s="3"/>
      <c r="I70" s="3"/>
      <c r="J70" s="3"/>
      <c r="K70" s="3"/>
      <c r="L70" s="3"/>
      <c r="M70" s="3"/>
      <c r="N70" s="3"/>
      <c r="O70" s="3"/>
      <c r="P70" s="3"/>
      <c r="Q70" s="3"/>
      <c r="R70" s="5"/>
      <c r="S70" s="3"/>
      <c r="T70" s="3"/>
      <c r="U70" s="3"/>
      <c r="V70" s="3"/>
      <c r="W70" s="3"/>
      <c r="X70" s="3"/>
      <c r="Y70" s="3"/>
      <c r="Z70" s="3"/>
    </row>
    <row r="71" ht="12.75" customHeight="1">
      <c r="A71" s="3"/>
      <c r="B71" s="3"/>
      <c r="C71" s="3"/>
      <c r="D71" s="3"/>
      <c r="E71" s="3"/>
      <c r="F71" s="3"/>
      <c r="G71" s="3"/>
      <c r="H71" s="3"/>
      <c r="I71" s="3"/>
      <c r="J71" s="3"/>
      <c r="K71" s="3"/>
      <c r="L71" s="3"/>
      <c r="M71" s="3"/>
      <c r="N71" s="3"/>
      <c r="O71" s="3"/>
      <c r="P71" s="3"/>
      <c r="Q71" s="3"/>
      <c r="R71" s="5"/>
      <c r="S71" s="3"/>
      <c r="T71" s="3"/>
      <c r="U71" s="3"/>
      <c r="V71" s="3"/>
      <c r="W71" s="3"/>
      <c r="X71" s="3"/>
      <c r="Y71" s="3"/>
      <c r="Z71" s="3"/>
    </row>
    <row r="72" ht="12.75" customHeight="1">
      <c r="A72" s="3"/>
      <c r="B72" s="3"/>
      <c r="C72" s="3"/>
      <c r="D72" s="3"/>
      <c r="E72" s="3"/>
      <c r="F72" s="3"/>
      <c r="G72" s="3"/>
      <c r="H72" s="3"/>
      <c r="I72" s="3"/>
      <c r="J72" s="3"/>
      <c r="K72" s="3"/>
      <c r="L72" s="3"/>
      <c r="M72" s="3"/>
      <c r="N72" s="3"/>
      <c r="O72" s="3"/>
      <c r="P72" s="3"/>
      <c r="Q72" s="3"/>
      <c r="R72" s="5"/>
      <c r="S72" s="3"/>
      <c r="T72" s="3"/>
      <c r="U72" s="3"/>
      <c r="V72" s="3"/>
      <c r="W72" s="3"/>
      <c r="X72" s="3"/>
      <c r="Y72" s="3"/>
      <c r="Z72" s="3"/>
    </row>
    <row r="73" ht="12.75" customHeight="1">
      <c r="A73" s="3"/>
      <c r="B73" s="3"/>
      <c r="C73" s="3"/>
      <c r="D73" s="3"/>
      <c r="E73" s="3"/>
      <c r="F73" s="3"/>
      <c r="G73" s="3"/>
      <c r="H73" s="3"/>
      <c r="I73" s="3"/>
      <c r="J73" s="3"/>
      <c r="K73" s="3"/>
      <c r="L73" s="3"/>
      <c r="M73" s="3"/>
      <c r="N73" s="3"/>
      <c r="O73" s="3"/>
      <c r="P73" s="3"/>
      <c r="Q73" s="3"/>
      <c r="R73" s="5"/>
      <c r="S73" s="3"/>
      <c r="T73" s="3"/>
      <c r="U73" s="3"/>
      <c r="V73" s="3"/>
      <c r="W73" s="3"/>
      <c r="X73" s="3"/>
      <c r="Y73" s="3"/>
      <c r="Z73" s="3"/>
    </row>
    <row r="74" ht="12.75" customHeight="1">
      <c r="A74" s="3"/>
      <c r="B74" s="3"/>
      <c r="C74" s="3"/>
      <c r="D74" s="3"/>
      <c r="E74" s="3"/>
      <c r="F74" s="3"/>
      <c r="G74" s="3"/>
      <c r="H74" s="3"/>
      <c r="I74" s="3"/>
      <c r="J74" s="3"/>
      <c r="K74" s="3"/>
      <c r="L74" s="3"/>
      <c r="M74" s="3"/>
      <c r="N74" s="3"/>
      <c r="O74" s="3"/>
      <c r="P74" s="3"/>
      <c r="Q74" s="3"/>
      <c r="R74" s="5"/>
      <c r="S74" s="3"/>
      <c r="T74" s="3"/>
      <c r="U74" s="3"/>
      <c r="V74" s="3"/>
      <c r="W74" s="3"/>
      <c r="X74" s="3"/>
      <c r="Y74" s="3"/>
      <c r="Z74" s="3"/>
    </row>
    <row r="75" ht="12.75" customHeight="1">
      <c r="A75" s="3"/>
      <c r="B75" s="3"/>
      <c r="C75" s="3"/>
      <c r="D75" s="3"/>
      <c r="E75" s="3"/>
      <c r="F75" s="3"/>
      <c r="G75" s="3"/>
      <c r="H75" s="3"/>
      <c r="I75" s="3"/>
      <c r="J75" s="3"/>
      <c r="K75" s="3"/>
      <c r="L75" s="3"/>
      <c r="M75" s="3"/>
      <c r="N75" s="3"/>
      <c r="O75" s="3"/>
      <c r="P75" s="3"/>
      <c r="Q75" s="3"/>
      <c r="R75" s="5"/>
      <c r="S75" s="3"/>
      <c r="T75" s="3"/>
      <c r="U75" s="3"/>
      <c r="V75" s="3"/>
      <c r="W75" s="3"/>
      <c r="X75" s="3"/>
      <c r="Y75" s="3"/>
      <c r="Z75" s="3"/>
    </row>
    <row r="76" ht="12.75" customHeight="1">
      <c r="A76" s="3"/>
      <c r="B76" s="3"/>
      <c r="C76" s="3"/>
      <c r="D76" s="3"/>
      <c r="E76" s="3"/>
      <c r="F76" s="3"/>
      <c r="G76" s="3"/>
      <c r="H76" s="3"/>
      <c r="I76" s="3"/>
      <c r="J76" s="3"/>
      <c r="K76" s="3"/>
      <c r="L76" s="3"/>
      <c r="M76" s="3"/>
      <c r="N76" s="3"/>
      <c r="O76" s="3"/>
      <c r="P76" s="3"/>
      <c r="Q76" s="3"/>
      <c r="R76" s="5"/>
      <c r="S76" s="3"/>
      <c r="T76" s="3"/>
      <c r="U76" s="3"/>
      <c r="V76" s="3"/>
      <c r="W76" s="3"/>
      <c r="X76" s="3"/>
      <c r="Y76" s="3"/>
      <c r="Z76" s="3"/>
    </row>
    <row r="77" ht="12.75" customHeight="1">
      <c r="A77" s="3"/>
      <c r="B77" s="3"/>
      <c r="C77" s="3"/>
      <c r="D77" s="3"/>
      <c r="E77" s="3"/>
      <c r="F77" s="3"/>
      <c r="G77" s="3"/>
      <c r="H77" s="3"/>
      <c r="I77" s="3"/>
      <c r="J77" s="3"/>
      <c r="K77" s="3"/>
      <c r="L77" s="3"/>
      <c r="M77" s="3"/>
      <c r="N77" s="3"/>
      <c r="O77" s="3"/>
      <c r="P77" s="3"/>
      <c r="Q77" s="3"/>
      <c r="R77" s="5"/>
      <c r="S77" s="3"/>
      <c r="T77" s="3"/>
      <c r="U77" s="3"/>
      <c r="V77" s="3"/>
      <c r="W77" s="3"/>
      <c r="X77" s="3"/>
      <c r="Y77" s="3"/>
      <c r="Z77" s="3"/>
    </row>
    <row r="78" ht="12.75" customHeight="1">
      <c r="A78" s="3"/>
      <c r="B78" s="3"/>
      <c r="C78" s="3"/>
      <c r="D78" s="3"/>
      <c r="E78" s="3"/>
      <c r="F78" s="3"/>
      <c r="G78" s="3"/>
      <c r="H78" s="3"/>
      <c r="I78" s="3"/>
      <c r="J78" s="3"/>
      <c r="K78" s="3"/>
      <c r="L78" s="3"/>
      <c r="M78" s="3"/>
      <c r="N78" s="3"/>
      <c r="O78" s="3"/>
      <c r="P78" s="3"/>
      <c r="Q78" s="3"/>
      <c r="R78" s="5"/>
      <c r="S78" s="3"/>
      <c r="T78" s="3"/>
      <c r="U78" s="3"/>
      <c r="V78" s="3"/>
      <c r="W78" s="3"/>
      <c r="X78" s="3"/>
      <c r="Y78" s="3"/>
      <c r="Z78" s="3"/>
    </row>
    <row r="79" ht="12.75" customHeight="1">
      <c r="A79" s="3"/>
      <c r="B79" s="3"/>
      <c r="C79" s="3"/>
      <c r="D79" s="3"/>
      <c r="E79" s="3"/>
      <c r="F79" s="3"/>
      <c r="G79" s="3"/>
      <c r="H79" s="3"/>
      <c r="I79" s="3"/>
      <c r="J79" s="3"/>
      <c r="K79" s="3"/>
      <c r="L79" s="3"/>
      <c r="M79" s="3"/>
      <c r="N79" s="3"/>
      <c r="O79" s="3"/>
      <c r="P79" s="3"/>
      <c r="Q79" s="3"/>
      <c r="R79" s="5"/>
      <c r="S79" s="3"/>
      <c r="T79" s="3"/>
      <c r="U79" s="3"/>
      <c r="V79" s="3"/>
      <c r="W79" s="3"/>
      <c r="X79" s="3"/>
      <c r="Y79" s="3"/>
      <c r="Z79" s="3"/>
    </row>
    <row r="80" ht="12.75" customHeight="1">
      <c r="A80" s="3"/>
      <c r="B80" s="3"/>
      <c r="C80" s="3"/>
      <c r="D80" s="3"/>
      <c r="E80" s="3"/>
      <c r="F80" s="3"/>
      <c r="G80" s="3"/>
      <c r="H80" s="3"/>
      <c r="I80" s="3"/>
      <c r="J80" s="3"/>
      <c r="K80" s="3"/>
      <c r="L80" s="3"/>
      <c r="M80" s="3"/>
      <c r="N80" s="3"/>
      <c r="O80" s="3"/>
      <c r="P80" s="3"/>
      <c r="Q80" s="3"/>
      <c r="R80" s="5"/>
      <c r="S80" s="3"/>
      <c r="T80" s="3"/>
      <c r="U80" s="3"/>
      <c r="V80" s="3"/>
      <c r="W80" s="3"/>
      <c r="X80" s="3"/>
      <c r="Y80" s="3"/>
      <c r="Z80" s="3"/>
    </row>
    <row r="81" ht="12.75" customHeight="1">
      <c r="A81" s="3"/>
      <c r="B81" s="3"/>
      <c r="C81" s="3"/>
      <c r="D81" s="3"/>
      <c r="E81" s="3"/>
      <c r="F81" s="3"/>
      <c r="G81" s="3"/>
      <c r="H81" s="3"/>
      <c r="I81" s="3"/>
      <c r="J81" s="3"/>
      <c r="K81" s="3"/>
      <c r="L81" s="3"/>
      <c r="M81" s="3"/>
      <c r="N81" s="3"/>
      <c r="O81" s="3"/>
      <c r="P81" s="3"/>
      <c r="Q81" s="3"/>
      <c r="R81" s="5"/>
      <c r="S81" s="3"/>
      <c r="T81" s="3"/>
      <c r="U81" s="3"/>
      <c r="V81" s="3"/>
      <c r="W81" s="3"/>
      <c r="X81" s="3"/>
      <c r="Y81" s="3"/>
      <c r="Z81" s="3"/>
    </row>
    <row r="82" ht="12.75" customHeight="1">
      <c r="A82" s="3"/>
      <c r="B82" s="3"/>
      <c r="C82" s="3"/>
      <c r="D82" s="3"/>
      <c r="E82" s="3"/>
      <c r="F82" s="3"/>
      <c r="G82" s="3"/>
      <c r="H82" s="3"/>
      <c r="I82" s="3"/>
      <c r="J82" s="3"/>
      <c r="K82" s="3"/>
      <c r="L82" s="3"/>
      <c r="M82" s="3"/>
      <c r="N82" s="3"/>
      <c r="O82" s="3"/>
      <c r="P82" s="3"/>
      <c r="Q82" s="3"/>
      <c r="R82" s="5"/>
      <c r="S82" s="3"/>
      <c r="T82" s="3"/>
      <c r="U82" s="3"/>
      <c r="V82" s="3"/>
      <c r="W82" s="3"/>
      <c r="X82" s="3"/>
      <c r="Y82" s="3"/>
      <c r="Z82" s="3"/>
    </row>
    <row r="83" ht="12.75" customHeight="1">
      <c r="A83" s="3"/>
      <c r="B83" s="3"/>
      <c r="C83" s="3"/>
      <c r="D83" s="3"/>
      <c r="E83" s="3"/>
      <c r="F83" s="3"/>
      <c r="G83" s="3"/>
      <c r="H83" s="3"/>
      <c r="I83" s="3"/>
      <c r="J83" s="3"/>
      <c r="K83" s="3"/>
      <c r="L83" s="3"/>
      <c r="M83" s="3"/>
      <c r="N83" s="3"/>
      <c r="O83" s="3"/>
      <c r="P83" s="3"/>
      <c r="Q83" s="3"/>
      <c r="R83" s="5"/>
      <c r="S83" s="3"/>
      <c r="T83" s="3"/>
      <c r="U83" s="3"/>
      <c r="V83" s="3"/>
      <c r="W83" s="3"/>
      <c r="X83" s="3"/>
      <c r="Y83" s="3"/>
      <c r="Z83" s="3"/>
    </row>
    <row r="84" ht="12.75" customHeight="1">
      <c r="A84" s="3"/>
      <c r="B84" s="3"/>
      <c r="C84" s="3"/>
      <c r="D84" s="3"/>
      <c r="E84" s="3"/>
      <c r="F84" s="3"/>
      <c r="G84" s="3"/>
      <c r="H84" s="3"/>
      <c r="I84" s="3"/>
      <c r="J84" s="3"/>
      <c r="K84" s="3"/>
      <c r="L84" s="3"/>
      <c r="M84" s="3"/>
      <c r="N84" s="3"/>
      <c r="O84" s="3"/>
      <c r="P84" s="3"/>
      <c r="Q84" s="3"/>
      <c r="R84" s="5"/>
      <c r="S84" s="3"/>
      <c r="T84" s="3"/>
      <c r="U84" s="3"/>
      <c r="V84" s="3"/>
      <c r="W84" s="3"/>
      <c r="X84" s="3"/>
      <c r="Y84" s="3"/>
      <c r="Z84" s="3"/>
    </row>
    <row r="85" ht="12.75" customHeight="1">
      <c r="A85" s="3"/>
      <c r="B85" s="3"/>
      <c r="C85" s="3"/>
      <c r="D85" s="3"/>
      <c r="E85" s="3"/>
      <c r="F85" s="3"/>
      <c r="G85" s="3"/>
      <c r="H85" s="3"/>
      <c r="I85" s="3"/>
      <c r="J85" s="3"/>
      <c r="K85" s="3"/>
      <c r="L85" s="3"/>
      <c r="M85" s="3"/>
      <c r="N85" s="3"/>
      <c r="O85" s="3"/>
      <c r="P85" s="3"/>
      <c r="Q85" s="3"/>
      <c r="R85" s="5"/>
      <c r="S85" s="3"/>
      <c r="T85" s="3"/>
      <c r="U85" s="3"/>
      <c r="V85" s="3"/>
      <c r="W85" s="3"/>
      <c r="X85" s="3"/>
      <c r="Y85" s="3"/>
      <c r="Z85" s="3"/>
    </row>
    <row r="86" ht="12.75" customHeight="1">
      <c r="A86" s="3"/>
      <c r="B86" s="3"/>
      <c r="C86" s="3"/>
      <c r="D86" s="3"/>
      <c r="E86" s="3"/>
      <c r="F86" s="3"/>
      <c r="G86" s="3"/>
      <c r="H86" s="3"/>
      <c r="I86" s="3"/>
      <c r="J86" s="3"/>
      <c r="K86" s="3"/>
      <c r="L86" s="3"/>
      <c r="M86" s="3"/>
      <c r="N86" s="3"/>
      <c r="O86" s="3"/>
      <c r="P86" s="3"/>
      <c r="Q86" s="3"/>
      <c r="R86" s="5"/>
      <c r="S86" s="3"/>
      <c r="T86" s="3"/>
      <c r="U86" s="3"/>
      <c r="V86" s="3"/>
      <c r="W86" s="3"/>
      <c r="X86" s="3"/>
      <c r="Y86" s="3"/>
      <c r="Z86" s="3"/>
    </row>
    <row r="87" ht="12.75" customHeight="1">
      <c r="A87" s="3"/>
      <c r="B87" s="3"/>
      <c r="C87" s="3"/>
      <c r="D87" s="3"/>
      <c r="E87" s="3"/>
      <c r="F87" s="3"/>
      <c r="G87" s="3"/>
      <c r="H87" s="3"/>
      <c r="I87" s="3"/>
      <c r="J87" s="3"/>
      <c r="K87" s="3"/>
      <c r="L87" s="3"/>
      <c r="M87" s="3"/>
      <c r="N87" s="3"/>
      <c r="O87" s="3"/>
      <c r="P87" s="3"/>
      <c r="Q87" s="3"/>
      <c r="R87" s="5"/>
      <c r="S87" s="3"/>
      <c r="T87" s="3"/>
      <c r="U87" s="3"/>
      <c r="V87" s="3"/>
      <c r="W87" s="3"/>
      <c r="X87" s="3"/>
      <c r="Y87" s="3"/>
      <c r="Z87" s="3"/>
    </row>
    <row r="88" ht="12.75" customHeight="1">
      <c r="A88" s="3"/>
      <c r="B88" s="3"/>
      <c r="C88" s="3"/>
      <c r="D88" s="3"/>
      <c r="E88" s="3"/>
      <c r="F88" s="3"/>
      <c r="G88" s="3"/>
      <c r="H88" s="3"/>
      <c r="I88" s="3"/>
      <c r="J88" s="3"/>
      <c r="K88" s="3"/>
      <c r="L88" s="3"/>
      <c r="M88" s="3"/>
      <c r="N88" s="3"/>
      <c r="O88" s="3"/>
      <c r="P88" s="3"/>
      <c r="Q88" s="3"/>
      <c r="R88" s="5"/>
      <c r="S88" s="3"/>
      <c r="T88" s="3"/>
      <c r="U88" s="3"/>
      <c r="V88" s="3"/>
      <c r="W88" s="3"/>
      <c r="X88" s="3"/>
      <c r="Y88" s="3"/>
      <c r="Z88" s="3"/>
    </row>
    <row r="89" ht="12.75" customHeight="1">
      <c r="A89" s="3"/>
      <c r="B89" s="3"/>
      <c r="C89" s="3"/>
      <c r="D89" s="3"/>
      <c r="E89" s="3"/>
      <c r="F89" s="3"/>
      <c r="G89" s="3"/>
      <c r="H89" s="3"/>
      <c r="I89" s="3"/>
      <c r="J89" s="3"/>
      <c r="K89" s="3"/>
      <c r="L89" s="3"/>
      <c r="M89" s="3"/>
      <c r="N89" s="3"/>
      <c r="O89" s="3"/>
      <c r="P89" s="3"/>
      <c r="Q89" s="3"/>
      <c r="R89" s="5"/>
      <c r="S89" s="3"/>
      <c r="T89" s="3"/>
      <c r="U89" s="3"/>
      <c r="V89" s="3"/>
      <c r="W89" s="3"/>
      <c r="X89" s="3"/>
      <c r="Y89" s="3"/>
      <c r="Z89" s="3"/>
    </row>
    <row r="90" ht="12.75" customHeight="1">
      <c r="A90" s="3"/>
      <c r="B90" s="3"/>
      <c r="C90" s="3"/>
      <c r="D90" s="3"/>
      <c r="E90" s="3"/>
      <c r="F90" s="3"/>
      <c r="G90" s="3"/>
      <c r="H90" s="3"/>
      <c r="I90" s="3"/>
      <c r="J90" s="3"/>
      <c r="K90" s="3"/>
      <c r="L90" s="3"/>
      <c r="M90" s="3"/>
      <c r="N90" s="3"/>
      <c r="O90" s="3"/>
      <c r="P90" s="3"/>
      <c r="Q90" s="3"/>
      <c r="R90" s="5"/>
      <c r="S90" s="3"/>
      <c r="T90" s="3"/>
      <c r="U90" s="3"/>
      <c r="V90" s="3"/>
      <c r="W90" s="3"/>
      <c r="X90" s="3"/>
      <c r="Y90" s="3"/>
      <c r="Z90" s="3"/>
    </row>
    <row r="91" ht="12.75" customHeight="1">
      <c r="A91" s="3"/>
      <c r="B91" s="3"/>
      <c r="C91" s="3"/>
      <c r="D91" s="3"/>
      <c r="E91" s="3"/>
      <c r="F91" s="3"/>
      <c r="G91" s="3"/>
      <c r="H91" s="3"/>
      <c r="I91" s="3"/>
      <c r="J91" s="3"/>
      <c r="K91" s="3"/>
      <c r="L91" s="3"/>
      <c r="M91" s="3"/>
      <c r="N91" s="3"/>
      <c r="O91" s="3"/>
      <c r="P91" s="3"/>
      <c r="Q91" s="3"/>
      <c r="R91" s="5"/>
      <c r="S91" s="3"/>
      <c r="T91" s="3"/>
      <c r="U91" s="3"/>
      <c r="V91" s="3"/>
      <c r="W91" s="3"/>
      <c r="X91" s="3"/>
      <c r="Y91" s="3"/>
      <c r="Z91" s="3"/>
    </row>
    <row r="92" ht="12.75" customHeight="1">
      <c r="A92" s="3"/>
      <c r="B92" s="3"/>
      <c r="C92" s="3"/>
      <c r="D92" s="3"/>
      <c r="E92" s="3"/>
      <c r="F92" s="3"/>
      <c r="G92" s="3"/>
      <c r="H92" s="3"/>
      <c r="I92" s="3"/>
      <c r="J92" s="3"/>
      <c r="K92" s="3"/>
      <c r="L92" s="3"/>
      <c r="M92" s="3"/>
      <c r="N92" s="3"/>
      <c r="O92" s="3"/>
      <c r="P92" s="3"/>
      <c r="Q92" s="3"/>
      <c r="R92" s="5"/>
      <c r="S92" s="3"/>
      <c r="T92" s="3"/>
      <c r="U92" s="3"/>
      <c r="V92" s="3"/>
      <c r="W92" s="3"/>
      <c r="X92" s="3"/>
      <c r="Y92" s="3"/>
      <c r="Z92" s="3"/>
    </row>
    <row r="93" ht="12.75" customHeight="1">
      <c r="A93" s="3"/>
      <c r="B93" s="3"/>
      <c r="C93" s="3"/>
      <c r="D93" s="3"/>
      <c r="E93" s="3"/>
      <c r="F93" s="3"/>
      <c r="G93" s="3"/>
      <c r="H93" s="3"/>
      <c r="I93" s="3"/>
      <c r="J93" s="3"/>
      <c r="K93" s="3"/>
      <c r="L93" s="3"/>
      <c r="M93" s="3"/>
      <c r="N93" s="3"/>
      <c r="O93" s="3"/>
      <c r="P93" s="3"/>
      <c r="Q93" s="3"/>
      <c r="R93" s="5"/>
      <c r="S93" s="3"/>
      <c r="T93" s="3"/>
      <c r="U93" s="3"/>
      <c r="V93" s="3"/>
      <c r="W93" s="3"/>
      <c r="X93" s="3"/>
      <c r="Y93" s="3"/>
      <c r="Z93" s="3"/>
    </row>
    <row r="94" ht="12.75" customHeight="1">
      <c r="A94" s="3"/>
      <c r="B94" s="3"/>
      <c r="C94" s="3"/>
      <c r="D94" s="3"/>
      <c r="E94" s="3"/>
      <c r="F94" s="3"/>
      <c r="G94" s="3"/>
      <c r="H94" s="3"/>
      <c r="I94" s="3"/>
      <c r="J94" s="3"/>
      <c r="K94" s="3"/>
      <c r="L94" s="3"/>
      <c r="M94" s="3"/>
      <c r="N94" s="3"/>
      <c r="O94" s="3"/>
      <c r="P94" s="3"/>
      <c r="Q94" s="3"/>
      <c r="R94" s="5"/>
      <c r="S94" s="3"/>
      <c r="T94" s="3"/>
      <c r="U94" s="3"/>
      <c r="V94" s="3"/>
      <c r="W94" s="3"/>
      <c r="X94" s="3"/>
      <c r="Y94" s="3"/>
      <c r="Z94" s="3"/>
    </row>
    <row r="95" ht="12.75" customHeight="1">
      <c r="A95" s="3"/>
      <c r="B95" s="3"/>
      <c r="C95" s="3"/>
      <c r="D95" s="3"/>
      <c r="E95" s="3"/>
      <c r="F95" s="3"/>
      <c r="G95" s="3"/>
      <c r="H95" s="3"/>
      <c r="I95" s="3"/>
      <c r="J95" s="3"/>
      <c r="K95" s="3"/>
      <c r="L95" s="3"/>
      <c r="M95" s="3"/>
      <c r="N95" s="3"/>
      <c r="O95" s="3"/>
      <c r="P95" s="3"/>
      <c r="Q95" s="3"/>
      <c r="R95" s="5"/>
      <c r="S95" s="3"/>
      <c r="T95" s="3"/>
      <c r="U95" s="3"/>
      <c r="V95" s="3"/>
      <c r="W95" s="3"/>
      <c r="X95" s="3"/>
      <c r="Y95" s="3"/>
      <c r="Z95" s="3"/>
    </row>
    <row r="96" ht="12.75" customHeight="1">
      <c r="A96" s="3"/>
      <c r="B96" s="3"/>
      <c r="C96" s="3"/>
      <c r="D96" s="3"/>
      <c r="E96" s="3"/>
      <c r="F96" s="3"/>
      <c r="G96" s="3"/>
      <c r="H96" s="3"/>
      <c r="I96" s="3"/>
      <c r="J96" s="3"/>
      <c r="K96" s="3"/>
      <c r="L96" s="3"/>
      <c r="M96" s="3"/>
      <c r="N96" s="3"/>
      <c r="O96" s="3"/>
      <c r="P96" s="3"/>
      <c r="Q96" s="3"/>
      <c r="R96" s="5"/>
      <c r="S96" s="3"/>
      <c r="T96" s="3"/>
      <c r="U96" s="3"/>
      <c r="V96" s="3"/>
      <c r="W96" s="3"/>
      <c r="X96" s="3"/>
      <c r="Y96" s="3"/>
      <c r="Z96" s="3"/>
    </row>
    <row r="97" ht="12.75" customHeight="1">
      <c r="A97" s="3"/>
      <c r="B97" s="3"/>
      <c r="C97" s="3"/>
      <c r="D97" s="3"/>
      <c r="E97" s="3"/>
      <c r="F97" s="3"/>
      <c r="G97" s="3"/>
      <c r="H97" s="3"/>
      <c r="I97" s="3"/>
      <c r="J97" s="3"/>
      <c r="K97" s="3"/>
      <c r="L97" s="3"/>
      <c r="M97" s="3"/>
      <c r="N97" s="3"/>
      <c r="O97" s="3"/>
      <c r="P97" s="3"/>
      <c r="Q97" s="3"/>
      <c r="R97" s="5"/>
      <c r="S97" s="3"/>
      <c r="T97" s="3"/>
      <c r="U97" s="3"/>
      <c r="V97" s="3"/>
      <c r="W97" s="3"/>
      <c r="X97" s="3"/>
      <c r="Y97" s="3"/>
      <c r="Z97" s="3"/>
    </row>
    <row r="98" ht="12.75" customHeight="1">
      <c r="A98" s="3"/>
      <c r="B98" s="3"/>
      <c r="C98" s="3"/>
      <c r="D98" s="3"/>
      <c r="E98" s="3"/>
      <c r="F98" s="3"/>
      <c r="G98" s="3"/>
      <c r="H98" s="3"/>
      <c r="I98" s="3"/>
      <c r="J98" s="3"/>
      <c r="K98" s="3"/>
      <c r="L98" s="3"/>
      <c r="M98" s="3"/>
      <c r="N98" s="3"/>
      <c r="O98" s="3"/>
      <c r="P98" s="3"/>
      <c r="Q98" s="3"/>
      <c r="R98" s="5"/>
      <c r="S98" s="3"/>
      <c r="T98" s="3"/>
      <c r="U98" s="3"/>
      <c r="V98" s="3"/>
      <c r="W98" s="3"/>
      <c r="X98" s="3"/>
      <c r="Y98" s="3"/>
      <c r="Z98" s="3"/>
    </row>
    <row r="99" ht="12.75" customHeight="1">
      <c r="A99" s="3"/>
      <c r="B99" s="3"/>
      <c r="C99" s="3"/>
      <c r="D99" s="3"/>
      <c r="E99" s="3"/>
      <c r="F99" s="3"/>
      <c r="G99" s="3"/>
      <c r="H99" s="3"/>
      <c r="I99" s="3"/>
      <c r="J99" s="3"/>
      <c r="K99" s="3"/>
      <c r="L99" s="3"/>
      <c r="M99" s="3"/>
      <c r="N99" s="3"/>
      <c r="O99" s="3"/>
      <c r="P99" s="3"/>
      <c r="Q99" s="3"/>
      <c r="R99" s="5"/>
      <c r="S99" s="3"/>
      <c r="T99" s="3"/>
      <c r="U99" s="3"/>
      <c r="V99" s="3"/>
      <c r="W99" s="3"/>
      <c r="X99" s="3"/>
      <c r="Y99" s="3"/>
      <c r="Z99" s="3"/>
    </row>
    <row r="100" ht="12.75" customHeight="1">
      <c r="A100" s="3"/>
      <c r="B100" s="3"/>
      <c r="C100" s="3"/>
      <c r="D100" s="3"/>
      <c r="E100" s="3"/>
      <c r="F100" s="3"/>
      <c r="G100" s="3"/>
      <c r="H100" s="3"/>
      <c r="I100" s="3"/>
      <c r="J100" s="3"/>
      <c r="K100" s="3"/>
      <c r="L100" s="3"/>
      <c r="M100" s="3"/>
      <c r="N100" s="3"/>
      <c r="O100" s="3"/>
      <c r="P100" s="3"/>
      <c r="Q100" s="3"/>
      <c r="R100" s="5"/>
      <c r="S100" s="3"/>
      <c r="T100" s="3"/>
      <c r="U100" s="3"/>
      <c r="V100" s="3"/>
      <c r="W100" s="3"/>
      <c r="X100" s="3"/>
      <c r="Y100" s="3"/>
      <c r="Z100" s="3"/>
    </row>
    <row r="101" ht="12.75" customHeight="1">
      <c r="A101" s="3"/>
      <c r="B101" s="3"/>
      <c r="C101" s="3"/>
      <c r="D101" s="3"/>
      <c r="E101" s="3"/>
      <c r="F101" s="3"/>
      <c r="G101" s="3"/>
      <c r="H101" s="3"/>
      <c r="I101" s="3"/>
      <c r="J101" s="3"/>
      <c r="K101" s="3"/>
      <c r="L101" s="3"/>
      <c r="M101" s="3"/>
      <c r="N101" s="3"/>
      <c r="O101" s="3"/>
      <c r="P101" s="3"/>
      <c r="Q101" s="3"/>
      <c r="R101" s="5"/>
      <c r="S101" s="3"/>
      <c r="T101" s="3"/>
      <c r="U101" s="3"/>
      <c r="V101" s="3"/>
      <c r="W101" s="3"/>
      <c r="X101" s="3"/>
      <c r="Y101" s="3"/>
      <c r="Z101" s="3"/>
    </row>
    <row r="102" ht="12.75" customHeight="1">
      <c r="A102" s="3"/>
      <c r="B102" s="3"/>
      <c r="C102" s="3"/>
      <c r="D102" s="3"/>
      <c r="E102" s="3"/>
      <c r="F102" s="3"/>
      <c r="G102" s="3"/>
      <c r="H102" s="3"/>
      <c r="I102" s="3"/>
      <c r="J102" s="3"/>
      <c r="K102" s="3"/>
      <c r="L102" s="3"/>
      <c r="M102" s="3"/>
      <c r="N102" s="3"/>
      <c r="O102" s="3"/>
      <c r="P102" s="3"/>
      <c r="Q102" s="3"/>
      <c r="R102" s="5"/>
      <c r="S102" s="3"/>
      <c r="T102" s="3"/>
      <c r="U102" s="3"/>
      <c r="V102" s="3"/>
      <c r="W102" s="3"/>
      <c r="X102" s="3"/>
      <c r="Y102" s="3"/>
      <c r="Z102" s="3"/>
    </row>
    <row r="103" ht="12.75" customHeight="1">
      <c r="A103" s="3"/>
      <c r="B103" s="3"/>
      <c r="C103" s="3"/>
      <c r="D103" s="3"/>
      <c r="E103" s="3"/>
      <c r="F103" s="3"/>
      <c r="G103" s="3"/>
      <c r="H103" s="3"/>
      <c r="I103" s="3"/>
      <c r="J103" s="3"/>
      <c r="K103" s="3"/>
      <c r="L103" s="3"/>
      <c r="M103" s="3"/>
      <c r="N103" s="3"/>
      <c r="O103" s="3"/>
      <c r="P103" s="3"/>
      <c r="Q103" s="3"/>
      <c r="R103" s="5"/>
      <c r="S103" s="3"/>
      <c r="T103" s="3"/>
      <c r="U103" s="3"/>
      <c r="V103" s="3"/>
      <c r="W103" s="3"/>
      <c r="X103" s="3"/>
      <c r="Y103" s="3"/>
      <c r="Z103" s="3"/>
    </row>
    <row r="104" ht="12.75" customHeight="1">
      <c r="A104" s="3"/>
      <c r="B104" s="3"/>
      <c r="C104" s="3"/>
      <c r="D104" s="3"/>
      <c r="E104" s="3"/>
      <c r="F104" s="3"/>
      <c r="G104" s="3"/>
      <c r="H104" s="3"/>
      <c r="I104" s="3"/>
      <c r="J104" s="3"/>
      <c r="K104" s="3"/>
      <c r="L104" s="3"/>
      <c r="M104" s="3"/>
      <c r="N104" s="3"/>
      <c r="O104" s="3"/>
      <c r="P104" s="3"/>
      <c r="Q104" s="3"/>
      <c r="R104" s="5"/>
      <c r="S104" s="3"/>
      <c r="T104" s="3"/>
      <c r="U104" s="3"/>
      <c r="V104" s="3"/>
      <c r="W104" s="3"/>
      <c r="X104" s="3"/>
      <c r="Y104" s="3"/>
      <c r="Z104" s="3"/>
    </row>
    <row r="105" ht="12.75" customHeight="1">
      <c r="A105" s="3"/>
      <c r="B105" s="3"/>
      <c r="C105" s="3"/>
      <c r="D105" s="3"/>
      <c r="E105" s="3"/>
      <c r="F105" s="3"/>
      <c r="G105" s="3"/>
      <c r="H105" s="3"/>
      <c r="I105" s="3"/>
      <c r="J105" s="3"/>
      <c r="K105" s="3"/>
      <c r="L105" s="3"/>
      <c r="M105" s="3"/>
      <c r="N105" s="3"/>
      <c r="O105" s="3"/>
      <c r="P105" s="3"/>
      <c r="Q105" s="3"/>
      <c r="R105" s="5"/>
      <c r="S105" s="3"/>
      <c r="T105" s="3"/>
      <c r="U105" s="3"/>
      <c r="V105" s="3"/>
      <c r="W105" s="3"/>
      <c r="X105" s="3"/>
      <c r="Y105" s="3"/>
      <c r="Z105" s="3"/>
    </row>
    <row r="106" ht="12.75" customHeight="1">
      <c r="A106" s="3"/>
      <c r="B106" s="3"/>
      <c r="C106" s="3"/>
      <c r="D106" s="3"/>
      <c r="E106" s="3"/>
      <c r="F106" s="3"/>
      <c r="G106" s="3"/>
      <c r="H106" s="3"/>
      <c r="I106" s="3"/>
      <c r="J106" s="3"/>
      <c r="K106" s="3"/>
      <c r="L106" s="3"/>
      <c r="M106" s="3"/>
      <c r="N106" s="3"/>
      <c r="O106" s="3"/>
      <c r="P106" s="3"/>
      <c r="Q106" s="3"/>
      <c r="R106" s="5"/>
      <c r="S106" s="3"/>
      <c r="T106" s="3"/>
      <c r="U106" s="3"/>
      <c r="V106" s="3"/>
      <c r="W106" s="3"/>
      <c r="X106" s="3"/>
      <c r="Y106" s="3"/>
      <c r="Z106" s="3"/>
    </row>
    <row r="107" ht="12.75" customHeight="1">
      <c r="A107" s="3"/>
      <c r="B107" s="3"/>
      <c r="C107" s="3"/>
      <c r="D107" s="3"/>
      <c r="E107" s="3"/>
      <c r="F107" s="3"/>
      <c r="G107" s="3"/>
      <c r="H107" s="3"/>
      <c r="I107" s="3"/>
      <c r="J107" s="3"/>
      <c r="K107" s="3"/>
      <c r="L107" s="3"/>
      <c r="M107" s="3"/>
      <c r="N107" s="3"/>
      <c r="O107" s="3"/>
      <c r="P107" s="3"/>
      <c r="Q107" s="3"/>
      <c r="R107" s="5"/>
      <c r="S107" s="3"/>
      <c r="T107" s="3"/>
      <c r="U107" s="3"/>
      <c r="V107" s="3"/>
      <c r="W107" s="3"/>
      <c r="X107" s="3"/>
      <c r="Y107" s="3"/>
      <c r="Z107" s="3"/>
    </row>
    <row r="108" ht="12.75" customHeight="1">
      <c r="A108" s="3"/>
      <c r="B108" s="3"/>
      <c r="C108" s="3"/>
      <c r="D108" s="3"/>
      <c r="E108" s="3"/>
      <c r="F108" s="3"/>
      <c r="G108" s="3"/>
      <c r="H108" s="3"/>
      <c r="I108" s="3"/>
      <c r="J108" s="3"/>
      <c r="K108" s="3"/>
      <c r="L108" s="3"/>
      <c r="M108" s="3"/>
      <c r="N108" s="3"/>
      <c r="O108" s="3"/>
      <c r="P108" s="3"/>
      <c r="Q108" s="3"/>
      <c r="R108" s="5"/>
      <c r="S108" s="3"/>
      <c r="T108" s="3"/>
      <c r="U108" s="3"/>
      <c r="V108" s="3"/>
      <c r="W108" s="3"/>
      <c r="X108" s="3"/>
      <c r="Y108" s="3"/>
      <c r="Z108" s="3"/>
    </row>
    <row r="109" ht="12.75" customHeight="1">
      <c r="A109" s="3"/>
      <c r="B109" s="3"/>
      <c r="C109" s="3"/>
      <c r="D109" s="3"/>
      <c r="E109" s="3"/>
      <c r="F109" s="3"/>
      <c r="G109" s="3"/>
      <c r="H109" s="3"/>
      <c r="I109" s="3"/>
      <c r="J109" s="3"/>
      <c r="K109" s="3"/>
      <c r="L109" s="3"/>
      <c r="M109" s="3"/>
      <c r="N109" s="3"/>
      <c r="O109" s="3"/>
      <c r="P109" s="3"/>
      <c r="Q109" s="3"/>
      <c r="R109" s="5"/>
      <c r="S109" s="3"/>
      <c r="T109" s="3"/>
      <c r="U109" s="3"/>
      <c r="V109" s="3"/>
      <c r="W109" s="3"/>
      <c r="X109" s="3"/>
      <c r="Y109" s="3"/>
      <c r="Z109" s="3"/>
    </row>
    <row r="110" ht="12.75" customHeight="1">
      <c r="A110" s="3"/>
      <c r="B110" s="3"/>
      <c r="C110" s="3"/>
      <c r="D110" s="3"/>
      <c r="E110" s="3"/>
      <c r="F110" s="3"/>
      <c r="G110" s="3"/>
      <c r="H110" s="3"/>
      <c r="I110" s="3"/>
      <c r="J110" s="3"/>
      <c r="K110" s="3"/>
      <c r="L110" s="3"/>
      <c r="M110" s="3"/>
      <c r="N110" s="3"/>
      <c r="O110" s="3"/>
      <c r="P110" s="3"/>
      <c r="Q110" s="3"/>
      <c r="R110" s="5"/>
      <c r="S110" s="3"/>
      <c r="T110" s="3"/>
      <c r="U110" s="3"/>
      <c r="V110" s="3"/>
      <c r="W110" s="3"/>
      <c r="X110" s="3"/>
      <c r="Y110" s="3"/>
      <c r="Z110" s="3"/>
    </row>
    <row r="111" ht="12.75" customHeight="1">
      <c r="A111" s="3"/>
      <c r="B111" s="3"/>
      <c r="C111" s="3"/>
      <c r="D111" s="3"/>
      <c r="E111" s="3"/>
      <c r="F111" s="3"/>
      <c r="G111" s="3"/>
      <c r="H111" s="3"/>
      <c r="I111" s="3"/>
      <c r="J111" s="3"/>
      <c r="K111" s="3"/>
      <c r="L111" s="3"/>
      <c r="M111" s="3"/>
      <c r="N111" s="3"/>
      <c r="O111" s="3"/>
      <c r="P111" s="3"/>
      <c r="Q111" s="3"/>
      <c r="R111" s="5"/>
      <c r="S111" s="3"/>
      <c r="T111" s="3"/>
      <c r="U111" s="3"/>
      <c r="V111" s="3"/>
      <c r="W111" s="3"/>
      <c r="X111" s="3"/>
      <c r="Y111" s="3"/>
      <c r="Z111" s="3"/>
    </row>
    <row r="112" ht="12.75" customHeight="1">
      <c r="A112" s="3"/>
      <c r="B112" s="3"/>
      <c r="C112" s="3"/>
      <c r="D112" s="3"/>
      <c r="E112" s="3"/>
      <c r="F112" s="3"/>
      <c r="G112" s="3"/>
      <c r="H112" s="3"/>
      <c r="I112" s="3"/>
      <c r="J112" s="3"/>
      <c r="K112" s="3"/>
      <c r="L112" s="3"/>
      <c r="M112" s="3"/>
      <c r="N112" s="3"/>
      <c r="O112" s="3"/>
      <c r="P112" s="3"/>
      <c r="Q112" s="3"/>
      <c r="R112" s="5"/>
      <c r="S112" s="3"/>
      <c r="T112" s="3"/>
      <c r="U112" s="3"/>
      <c r="V112" s="3"/>
      <c r="W112" s="3"/>
      <c r="X112" s="3"/>
      <c r="Y112" s="3"/>
      <c r="Z112" s="3"/>
    </row>
    <row r="113" ht="12.75" customHeight="1">
      <c r="A113" s="3"/>
      <c r="B113" s="3"/>
      <c r="C113" s="3"/>
      <c r="D113" s="3"/>
      <c r="E113" s="3"/>
      <c r="F113" s="3"/>
      <c r="G113" s="3"/>
      <c r="H113" s="3"/>
      <c r="I113" s="3"/>
      <c r="J113" s="3"/>
      <c r="K113" s="3"/>
      <c r="L113" s="3"/>
      <c r="M113" s="3"/>
      <c r="N113" s="3"/>
      <c r="O113" s="3"/>
      <c r="P113" s="3"/>
      <c r="Q113" s="3"/>
      <c r="R113" s="5"/>
      <c r="S113" s="3"/>
      <c r="T113" s="3"/>
      <c r="U113" s="3"/>
      <c r="V113" s="3"/>
      <c r="W113" s="3"/>
      <c r="X113" s="3"/>
      <c r="Y113" s="3"/>
      <c r="Z113" s="3"/>
    </row>
    <row r="114" ht="12.75" customHeight="1">
      <c r="A114" s="3"/>
      <c r="B114" s="3"/>
      <c r="C114" s="3"/>
      <c r="D114" s="3"/>
      <c r="E114" s="3"/>
      <c r="F114" s="3"/>
      <c r="G114" s="3"/>
      <c r="H114" s="3"/>
      <c r="I114" s="3"/>
      <c r="J114" s="3"/>
      <c r="K114" s="3"/>
      <c r="L114" s="3"/>
      <c r="M114" s="3"/>
      <c r="N114" s="3"/>
      <c r="O114" s="3"/>
      <c r="P114" s="3"/>
      <c r="Q114" s="3"/>
      <c r="R114" s="5"/>
      <c r="S114" s="3"/>
      <c r="T114" s="3"/>
      <c r="U114" s="3"/>
      <c r="V114" s="3"/>
      <c r="W114" s="3"/>
      <c r="X114" s="3"/>
      <c r="Y114" s="3"/>
      <c r="Z114" s="3"/>
    </row>
    <row r="115" ht="12.75" customHeight="1">
      <c r="A115" s="3"/>
      <c r="B115" s="3"/>
      <c r="C115" s="3"/>
      <c r="D115" s="3"/>
      <c r="E115" s="3"/>
      <c r="F115" s="3"/>
      <c r="G115" s="3"/>
      <c r="H115" s="3"/>
      <c r="I115" s="3"/>
      <c r="J115" s="3"/>
      <c r="K115" s="3"/>
      <c r="L115" s="3"/>
      <c r="M115" s="3"/>
      <c r="N115" s="3"/>
      <c r="O115" s="3"/>
      <c r="P115" s="3"/>
      <c r="Q115" s="3"/>
      <c r="R115" s="5"/>
      <c r="S115" s="3"/>
      <c r="T115" s="3"/>
      <c r="U115" s="3"/>
      <c r="V115" s="3"/>
      <c r="W115" s="3"/>
      <c r="X115" s="3"/>
      <c r="Y115" s="3"/>
      <c r="Z115" s="3"/>
    </row>
    <row r="116" ht="12.75" customHeight="1">
      <c r="A116" s="3"/>
      <c r="B116" s="3"/>
      <c r="C116" s="3"/>
      <c r="D116" s="3"/>
      <c r="E116" s="3"/>
      <c r="F116" s="3"/>
      <c r="G116" s="3"/>
      <c r="H116" s="3"/>
      <c r="I116" s="3"/>
      <c r="J116" s="3"/>
      <c r="K116" s="3"/>
      <c r="L116" s="3"/>
      <c r="M116" s="3"/>
      <c r="N116" s="3"/>
      <c r="O116" s="3"/>
      <c r="P116" s="3"/>
      <c r="Q116" s="3"/>
      <c r="R116" s="5"/>
      <c r="S116" s="3"/>
      <c r="T116" s="3"/>
      <c r="U116" s="3"/>
      <c r="V116" s="3"/>
      <c r="W116" s="3"/>
      <c r="X116" s="3"/>
      <c r="Y116" s="3"/>
      <c r="Z116" s="3"/>
    </row>
    <row r="117" ht="12.75" customHeight="1">
      <c r="A117" s="3"/>
      <c r="B117" s="3"/>
      <c r="C117" s="3"/>
      <c r="D117" s="3"/>
      <c r="E117" s="3"/>
      <c r="F117" s="3"/>
      <c r="G117" s="3"/>
      <c r="H117" s="3"/>
      <c r="I117" s="3"/>
      <c r="J117" s="3"/>
      <c r="K117" s="3"/>
      <c r="L117" s="3"/>
      <c r="M117" s="3"/>
      <c r="N117" s="3"/>
      <c r="O117" s="3"/>
      <c r="P117" s="3"/>
      <c r="Q117" s="3"/>
      <c r="R117" s="5"/>
      <c r="S117" s="3"/>
      <c r="T117" s="3"/>
      <c r="U117" s="3"/>
      <c r="V117" s="3"/>
      <c r="W117" s="3"/>
      <c r="X117" s="3"/>
      <c r="Y117" s="3"/>
      <c r="Z117" s="3"/>
    </row>
    <row r="118" ht="12.75" customHeight="1">
      <c r="A118" s="3"/>
      <c r="B118" s="3"/>
      <c r="C118" s="3"/>
      <c r="D118" s="3"/>
      <c r="E118" s="3"/>
      <c r="F118" s="3"/>
      <c r="G118" s="3"/>
      <c r="H118" s="3"/>
      <c r="I118" s="3"/>
      <c r="J118" s="3"/>
      <c r="K118" s="3"/>
      <c r="L118" s="3"/>
      <c r="M118" s="3"/>
      <c r="N118" s="3"/>
      <c r="O118" s="3"/>
      <c r="P118" s="3"/>
      <c r="Q118" s="3"/>
      <c r="R118" s="5"/>
      <c r="S118" s="3"/>
      <c r="T118" s="3"/>
      <c r="U118" s="3"/>
      <c r="V118" s="3"/>
      <c r="W118" s="3"/>
      <c r="X118" s="3"/>
      <c r="Y118" s="3"/>
      <c r="Z118" s="3"/>
    </row>
    <row r="119" ht="12.75" customHeight="1">
      <c r="A119" s="3"/>
      <c r="B119" s="3"/>
      <c r="C119" s="3"/>
      <c r="D119" s="3"/>
      <c r="E119" s="3"/>
      <c r="F119" s="3"/>
      <c r="G119" s="3"/>
      <c r="H119" s="3"/>
      <c r="I119" s="3"/>
      <c r="J119" s="3"/>
      <c r="K119" s="3"/>
      <c r="L119" s="3"/>
      <c r="M119" s="3"/>
      <c r="N119" s="3"/>
      <c r="O119" s="3"/>
      <c r="P119" s="3"/>
      <c r="Q119" s="3"/>
      <c r="R119" s="5"/>
      <c r="S119" s="3"/>
      <c r="T119" s="3"/>
      <c r="U119" s="3"/>
      <c r="V119" s="3"/>
      <c r="W119" s="3"/>
      <c r="X119" s="3"/>
      <c r="Y119" s="3"/>
      <c r="Z119" s="3"/>
    </row>
    <row r="120" ht="12.75" customHeight="1">
      <c r="A120" s="3"/>
      <c r="B120" s="3"/>
      <c r="C120" s="3"/>
      <c r="D120" s="3"/>
      <c r="E120" s="3"/>
      <c r="F120" s="3"/>
      <c r="G120" s="3"/>
      <c r="H120" s="3"/>
      <c r="I120" s="3"/>
      <c r="J120" s="3"/>
      <c r="K120" s="3"/>
      <c r="L120" s="3"/>
      <c r="M120" s="3"/>
      <c r="N120" s="3"/>
      <c r="O120" s="3"/>
      <c r="P120" s="3"/>
      <c r="Q120" s="3"/>
      <c r="R120" s="5"/>
      <c r="S120" s="3"/>
      <c r="T120" s="3"/>
      <c r="U120" s="3"/>
      <c r="V120" s="3"/>
      <c r="W120" s="3"/>
      <c r="X120" s="3"/>
      <c r="Y120" s="3"/>
      <c r="Z120" s="3"/>
    </row>
    <row r="121" ht="12.75" customHeight="1">
      <c r="A121" s="3"/>
      <c r="B121" s="3"/>
      <c r="C121" s="3"/>
      <c r="D121" s="3"/>
      <c r="E121" s="3"/>
      <c r="F121" s="3"/>
      <c r="G121" s="3"/>
      <c r="H121" s="3"/>
      <c r="I121" s="3"/>
      <c r="J121" s="3"/>
      <c r="K121" s="3"/>
      <c r="L121" s="3"/>
      <c r="M121" s="3"/>
      <c r="N121" s="3"/>
      <c r="O121" s="3"/>
      <c r="P121" s="3"/>
      <c r="Q121" s="3"/>
      <c r="R121" s="5"/>
      <c r="S121" s="3"/>
      <c r="T121" s="3"/>
      <c r="U121" s="3"/>
      <c r="V121" s="3"/>
      <c r="W121" s="3"/>
      <c r="X121" s="3"/>
      <c r="Y121" s="3"/>
      <c r="Z121" s="3"/>
    </row>
    <row r="122" ht="12.75" customHeight="1">
      <c r="A122" s="3"/>
      <c r="B122" s="3"/>
      <c r="C122" s="3"/>
      <c r="D122" s="3"/>
      <c r="E122" s="3"/>
      <c r="F122" s="3"/>
      <c r="G122" s="3"/>
      <c r="H122" s="3"/>
      <c r="I122" s="3"/>
      <c r="J122" s="3"/>
      <c r="K122" s="3"/>
      <c r="L122" s="3"/>
      <c r="M122" s="3"/>
      <c r="N122" s="3"/>
      <c r="O122" s="3"/>
      <c r="P122" s="3"/>
      <c r="Q122" s="3"/>
      <c r="R122" s="5"/>
      <c r="S122" s="3"/>
      <c r="T122" s="3"/>
      <c r="U122" s="3"/>
      <c r="V122" s="3"/>
      <c r="W122" s="3"/>
      <c r="X122" s="3"/>
      <c r="Y122" s="3"/>
      <c r="Z122" s="3"/>
    </row>
    <row r="123" ht="12.75" customHeight="1">
      <c r="A123" s="3"/>
      <c r="B123" s="3"/>
      <c r="C123" s="3"/>
      <c r="D123" s="3"/>
      <c r="E123" s="3"/>
      <c r="F123" s="3"/>
      <c r="G123" s="3"/>
      <c r="H123" s="3"/>
      <c r="I123" s="3"/>
      <c r="J123" s="3"/>
      <c r="K123" s="3"/>
      <c r="L123" s="3"/>
      <c r="M123" s="3"/>
      <c r="N123" s="3"/>
      <c r="O123" s="3"/>
      <c r="P123" s="3"/>
      <c r="Q123" s="3"/>
      <c r="R123" s="5"/>
      <c r="S123" s="3"/>
      <c r="T123" s="3"/>
      <c r="U123" s="3"/>
      <c r="V123" s="3"/>
      <c r="W123" s="3"/>
      <c r="X123" s="3"/>
      <c r="Y123" s="3"/>
      <c r="Z123" s="3"/>
    </row>
    <row r="124" ht="12.75" customHeight="1">
      <c r="A124" s="3"/>
      <c r="B124" s="3"/>
      <c r="C124" s="3"/>
      <c r="D124" s="3"/>
      <c r="E124" s="3"/>
      <c r="F124" s="3"/>
      <c r="G124" s="3"/>
      <c r="H124" s="3"/>
      <c r="I124" s="3"/>
      <c r="J124" s="3"/>
      <c r="K124" s="3"/>
      <c r="L124" s="3"/>
      <c r="M124" s="3"/>
      <c r="N124" s="3"/>
      <c r="O124" s="3"/>
      <c r="P124" s="3"/>
      <c r="Q124" s="3"/>
      <c r="R124" s="5"/>
      <c r="S124" s="3"/>
      <c r="T124" s="3"/>
      <c r="U124" s="3"/>
      <c r="V124" s="3"/>
      <c r="W124" s="3"/>
      <c r="X124" s="3"/>
      <c r="Y124" s="3"/>
      <c r="Z124" s="3"/>
    </row>
    <row r="125" ht="12.75" customHeight="1">
      <c r="A125" s="3"/>
      <c r="B125" s="3"/>
      <c r="C125" s="3"/>
      <c r="D125" s="3"/>
      <c r="E125" s="3"/>
      <c r="F125" s="3"/>
      <c r="G125" s="3"/>
      <c r="H125" s="3"/>
      <c r="I125" s="3"/>
      <c r="J125" s="3"/>
      <c r="K125" s="3"/>
      <c r="L125" s="3"/>
      <c r="M125" s="3"/>
      <c r="N125" s="3"/>
      <c r="O125" s="3"/>
      <c r="P125" s="3"/>
      <c r="Q125" s="3"/>
      <c r="R125" s="5"/>
      <c r="S125" s="3"/>
      <c r="T125" s="3"/>
      <c r="U125" s="3"/>
      <c r="V125" s="3"/>
      <c r="W125" s="3"/>
      <c r="X125" s="3"/>
      <c r="Y125" s="3"/>
      <c r="Z125" s="3"/>
    </row>
    <row r="126" ht="12.75" customHeight="1">
      <c r="A126" s="3"/>
      <c r="B126" s="3"/>
      <c r="C126" s="3"/>
      <c r="D126" s="3"/>
      <c r="E126" s="3"/>
      <c r="F126" s="3"/>
      <c r="G126" s="3"/>
      <c r="H126" s="3"/>
      <c r="I126" s="3"/>
      <c r="J126" s="3"/>
      <c r="K126" s="3"/>
      <c r="L126" s="3"/>
      <c r="M126" s="3"/>
      <c r="N126" s="3"/>
      <c r="O126" s="3"/>
      <c r="P126" s="3"/>
      <c r="Q126" s="3"/>
      <c r="R126" s="5"/>
      <c r="S126" s="3"/>
      <c r="T126" s="3"/>
      <c r="U126" s="3"/>
      <c r="V126" s="3"/>
      <c r="W126" s="3"/>
      <c r="X126" s="3"/>
      <c r="Y126" s="3"/>
      <c r="Z126" s="3"/>
    </row>
    <row r="127" ht="12.75" customHeight="1">
      <c r="A127" s="3"/>
      <c r="B127" s="3"/>
      <c r="C127" s="3"/>
      <c r="D127" s="3"/>
      <c r="E127" s="3"/>
      <c r="F127" s="3"/>
      <c r="G127" s="3"/>
      <c r="H127" s="3"/>
      <c r="I127" s="3"/>
      <c r="J127" s="3"/>
      <c r="K127" s="3"/>
      <c r="L127" s="3"/>
      <c r="M127" s="3"/>
      <c r="N127" s="3"/>
      <c r="O127" s="3"/>
      <c r="P127" s="3"/>
      <c r="Q127" s="3"/>
      <c r="R127" s="5"/>
      <c r="S127" s="3"/>
      <c r="T127" s="3"/>
      <c r="U127" s="3"/>
      <c r="V127" s="3"/>
      <c r="W127" s="3"/>
      <c r="X127" s="3"/>
      <c r="Y127" s="3"/>
      <c r="Z127" s="3"/>
    </row>
    <row r="128" ht="12.75" customHeight="1">
      <c r="A128" s="3"/>
      <c r="B128" s="3"/>
      <c r="C128" s="3"/>
      <c r="D128" s="3"/>
      <c r="E128" s="3"/>
      <c r="F128" s="3"/>
      <c r="G128" s="3"/>
      <c r="H128" s="3"/>
      <c r="I128" s="3"/>
      <c r="J128" s="3"/>
      <c r="K128" s="3"/>
      <c r="L128" s="3"/>
      <c r="M128" s="3"/>
      <c r="N128" s="3"/>
      <c r="O128" s="3"/>
      <c r="P128" s="3"/>
      <c r="Q128" s="3"/>
      <c r="R128" s="5"/>
      <c r="S128" s="3"/>
      <c r="T128" s="3"/>
      <c r="U128" s="3"/>
      <c r="V128" s="3"/>
      <c r="W128" s="3"/>
      <c r="X128" s="3"/>
      <c r="Y128" s="3"/>
      <c r="Z128" s="3"/>
    </row>
    <row r="129" ht="12.75" customHeight="1">
      <c r="A129" s="3"/>
      <c r="B129" s="3"/>
      <c r="C129" s="3"/>
      <c r="D129" s="3"/>
      <c r="E129" s="3"/>
      <c r="F129" s="3"/>
      <c r="G129" s="3"/>
      <c r="H129" s="3"/>
      <c r="I129" s="3"/>
      <c r="J129" s="3"/>
      <c r="K129" s="3"/>
      <c r="L129" s="3"/>
      <c r="M129" s="3"/>
      <c r="N129" s="3"/>
      <c r="O129" s="3"/>
      <c r="P129" s="3"/>
      <c r="Q129" s="3"/>
      <c r="R129" s="5"/>
      <c r="S129" s="3"/>
      <c r="T129" s="3"/>
      <c r="U129" s="3"/>
      <c r="V129" s="3"/>
      <c r="W129" s="3"/>
      <c r="X129" s="3"/>
      <c r="Y129" s="3"/>
      <c r="Z129" s="3"/>
    </row>
    <row r="130" ht="12.75" customHeight="1">
      <c r="A130" s="3"/>
      <c r="B130" s="3"/>
      <c r="C130" s="3"/>
      <c r="D130" s="3"/>
      <c r="E130" s="3"/>
      <c r="F130" s="3"/>
      <c r="G130" s="3"/>
      <c r="H130" s="3"/>
      <c r="I130" s="3"/>
      <c r="J130" s="3"/>
      <c r="K130" s="3"/>
      <c r="L130" s="3"/>
      <c r="M130" s="3"/>
      <c r="N130" s="3"/>
      <c r="O130" s="3"/>
      <c r="P130" s="3"/>
      <c r="Q130" s="3"/>
      <c r="R130" s="5"/>
      <c r="S130" s="3"/>
      <c r="T130" s="3"/>
      <c r="U130" s="3"/>
      <c r="V130" s="3"/>
      <c r="W130" s="3"/>
      <c r="X130" s="3"/>
      <c r="Y130" s="3"/>
      <c r="Z130" s="3"/>
    </row>
    <row r="131" ht="12.75" customHeight="1">
      <c r="A131" s="3"/>
      <c r="B131" s="3"/>
      <c r="C131" s="3"/>
      <c r="D131" s="3"/>
      <c r="E131" s="3"/>
      <c r="F131" s="3"/>
      <c r="G131" s="3"/>
      <c r="H131" s="3"/>
      <c r="I131" s="3"/>
      <c r="J131" s="3"/>
      <c r="K131" s="3"/>
      <c r="L131" s="3"/>
      <c r="M131" s="3"/>
      <c r="N131" s="3"/>
      <c r="O131" s="3"/>
      <c r="P131" s="3"/>
      <c r="Q131" s="3"/>
      <c r="R131" s="5"/>
      <c r="S131" s="3"/>
      <c r="T131" s="3"/>
      <c r="U131" s="3"/>
      <c r="V131" s="3"/>
      <c r="W131" s="3"/>
      <c r="X131" s="3"/>
      <c r="Y131" s="3"/>
      <c r="Z131" s="3"/>
    </row>
    <row r="132" ht="12.75" customHeight="1">
      <c r="A132" s="3"/>
      <c r="B132" s="3"/>
      <c r="C132" s="3"/>
      <c r="D132" s="3"/>
      <c r="E132" s="3"/>
      <c r="F132" s="3"/>
      <c r="G132" s="3"/>
      <c r="H132" s="3"/>
      <c r="I132" s="3"/>
      <c r="J132" s="3"/>
      <c r="K132" s="3"/>
      <c r="L132" s="3"/>
      <c r="M132" s="3"/>
      <c r="N132" s="3"/>
      <c r="O132" s="3"/>
      <c r="P132" s="3"/>
      <c r="Q132" s="3"/>
      <c r="R132" s="5"/>
      <c r="S132" s="3"/>
      <c r="T132" s="3"/>
      <c r="U132" s="3"/>
      <c r="V132" s="3"/>
      <c r="W132" s="3"/>
      <c r="X132" s="3"/>
      <c r="Y132" s="3"/>
      <c r="Z132" s="3"/>
    </row>
    <row r="133" ht="12.75" customHeight="1">
      <c r="A133" s="3"/>
      <c r="B133" s="3"/>
      <c r="C133" s="3"/>
      <c r="D133" s="3"/>
      <c r="E133" s="3"/>
      <c r="F133" s="3"/>
      <c r="G133" s="3"/>
      <c r="H133" s="3"/>
      <c r="I133" s="3"/>
      <c r="J133" s="3"/>
      <c r="K133" s="3"/>
      <c r="L133" s="3"/>
      <c r="M133" s="3"/>
      <c r="N133" s="3"/>
      <c r="O133" s="3"/>
      <c r="P133" s="3"/>
      <c r="Q133" s="3"/>
      <c r="R133" s="5"/>
      <c r="S133" s="3"/>
      <c r="T133" s="3"/>
      <c r="U133" s="3"/>
      <c r="V133" s="3"/>
      <c r="W133" s="3"/>
      <c r="X133" s="3"/>
      <c r="Y133" s="3"/>
      <c r="Z133" s="3"/>
    </row>
    <row r="134" ht="12.75" customHeight="1">
      <c r="A134" s="3"/>
      <c r="B134" s="3"/>
      <c r="C134" s="3"/>
      <c r="D134" s="3"/>
      <c r="E134" s="3"/>
      <c r="F134" s="3"/>
      <c r="G134" s="3"/>
      <c r="H134" s="3"/>
      <c r="I134" s="3"/>
      <c r="J134" s="3"/>
      <c r="K134" s="3"/>
      <c r="L134" s="3"/>
      <c r="M134" s="3"/>
      <c r="N134" s="3"/>
      <c r="O134" s="3"/>
      <c r="P134" s="3"/>
      <c r="Q134" s="3"/>
      <c r="R134" s="5"/>
      <c r="S134" s="3"/>
      <c r="T134" s="3"/>
      <c r="U134" s="3"/>
      <c r="V134" s="3"/>
      <c r="W134" s="3"/>
      <c r="X134" s="3"/>
      <c r="Y134" s="3"/>
      <c r="Z134" s="3"/>
    </row>
    <row r="135" ht="12.75" customHeight="1">
      <c r="A135" s="3"/>
      <c r="B135" s="3"/>
      <c r="C135" s="3"/>
      <c r="D135" s="3"/>
      <c r="E135" s="3"/>
      <c r="F135" s="3"/>
      <c r="G135" s="3"/>
      <c r="H135" s="3"/>
      <c r="I135" s="3"/>
      <c r="J135" s="3"/>
      <c r="K135" s="3"/>
      <c r="L135" s="3"/>
      <c r="M135" s="3"/>
      <c r="N135" s="3"/>
      <c r="O135" s="3"/>
      <c r="P135" s="3"/>
      <c r="Q135" s="3"/>
      <c r="R135" s="5"/>
      <c r="S135" s="3"/>
      <c r="T135" s="3"/>
      <c r="U135" s="3"/>
      <c r="V135" s="3"/>
      <c r="W135" s="3"/>
      <c r="X135" s="3"/>
      <c r="Y135" s="3"/>
      <c r="Z135" s="3"/>
    </row>
    <row r="136" ht="12.75" customHeight="1">
      <c r="A136" s="3"/>
      <c r="B136" s="3"/>
      <c r="C136" s="3"/>
      <c r="D136" s="3"/>
      <c r="E136" s="3"/>
      <c r="F136" s="3"/>
      <c r="G136" s="3"/>
      <c r="H136" s="3"/>
      <c r="I136" s="3"/>
      <c r="J136" s="3"/>
      <c r="K136" s="3"/>
      <c r="L136" s="3"/>
      <c r="M136" s="3"/>
      <c r="N136" s="3"/>
      <c r="O136" s="3"/>
      <c r="P136" s="3"/>
      <c r="Q136" s="3"/>
      <c r="R136" s="5"/>
      <c r="S136" s="3"/>
      <c r="T136" s="3"/>
      <c r="U136" s="3"/>
      <c r="V136" s="3"/>
      <c r="W136" s="3"/>
      <c r="X136" s="3"/>
      <c r="Y136" s="3"/>
      <c r="Z136" s="3"/>
    </row>
    <row r="137" ht="12.75" customHeight="1">
      <c r="A137" s="3"/>
      <c r="B137" s="3"/>
      <c r="C137" s="3"/>
      <c r="D137" s="3"/>
      <c r="E137" s="3"/>
      <c r="F137" s="3"/>
      <c r="G137" s="3"/>
      <c r="H137" s="3"/>
      <c r="I137" s="3"/>
      <c r="J137" s="3"/>
      <c r="K137" s="3"/>
      <c r="L137" s="3"/>
      <c r="M137" s="3"/>
      <c r="N137" s="3"/>
      <c r="O137" s="3"/>
      <c r="P137" s="3"/>
      <c r="Q137" s="3"/>
      <c r="R137" s="5"/>
      <c r="S137" s="3"/>
      <c r="T137" s="3"/>
      <c r="U137" s="3"/>
      <c r="V137" s="3"/>
      <c r="W137" s="3"/>
      <c r="X137" s="3"/>
      <c r="Y137" s="3"/>
      <c r="Z137" s="3"/>
    </row>
    <row r="138" ht="12.75" customHeight="1">
      <c r="A138" s="3"/>
      <c r="B138" s="3"/>
      <c r="C138" s="3"/>
      <c r="D138" s="3"/>
      <c r="E138" s="3"/>
      <c r="F138" s="3"/>
      <c r="G138" s="3"/>
      <c r="H138" s="3"/>
      <c r="I138" s="3"/>
      <c r="J138" s="3"/>
      <c r="K138" s="3"/>
      <c r="L138" s="3"/>
      <c r="M138" s="3"/>
      <c r="N138" s="3"/>
      <c r="O138" s="3"/>
      <c r="P138" s="3"/>
      <c r="Q138" s="3"/>
      <c r="R138" s="5"/>
      <c r="S138" s="3"/>
      <c r="T138" s="3"/>
      <c r="U138" s="3"/>
      <c r="V138" s="3"/>
      <c r="W138" s="3"/>
      <c r="X138" s="3"/>
      <c r="Y138" s="3"/>
      <c r="Z138" s="3"/>
    </row>
    <row r="139" ht="12.75" customHeight="1">
      <c r="A139" s="3"/>
      <c r="B139" s="3"/>
      <c r="C139" s="3"/>
      <c r="D139" s="3"/>
      <c r="E139" s="3"/>
      <c r="F139" s="3"/>
      <c r="G139" s="3"/>
      <c r="H139" s="3"/>
      <c r="I139" s="3"/>
      <c r="J139" s="3"/>
      <c r="K139" s="3"/>
      <c r="L139" s="3"/>
      <c r="M139" s="3"/>
      <c r="N139" s="3"/>
      <c r="O139" s="3"/>
      <c r="P139" s="3"/>
      <c r="Q139" s="3"/>
      <c r="R139" s="5"/>
      <c r="S139" s="3"/>
      <c r="T139" s="3"/>
      <c r="U139" s="3"/>
      <c r="V139" s="3"/>
      <c r="W139" s="3"/>
      <c r="X139" s="3"/>
      <c r="Y139" s="3"/>
      <c r="Z139" s="3"/>
    </row>
    <row r="140" ht="12.75" customHeight="1">
      <c r="A140" s="3"/>
      <c r="B140" s="3"/>
      <c r="C140" s="3"/>
      <c r="D140" s="3"/>
      <c r="E140" s="3"/>
      <c r="F140" s="3"/>
      <c r="G140" s="3"/>
      <c r="H140" s="3"/>
      <c r="I140" s="3"/>
      <c r="J140" s="3"/>
      <c r="K140" s="3"/>
      <c r="L140" s="3"/>
      <c r="M140" s="3"/>
      <c r="N140" s="3"/>
      <c r="O140" s="3"/>
      <c r="P140" s="3"/>
      <c r="Q140" s="3"/>
      <c r="R140" s="5"/>
      <c r="S140" s="3"/>
      <c r="T140" s="3"/>
      <c r="U140" s="3"/>
      <c r="V140" s="3"/>
      <c r="W140" s="3"/>
      <c r="X140" s="3"/>
      <c r="Y140" s="3"/>
      <c r="Z140" s="3"/>
    </row>
    <row r="141" ht="12.75" customHeight="1">
      <c r="A141" s="3"/>
      <c r="B141" s="3"/>
      <c r="C141" s="3"/>
      <c r="D141" s="3"/>
      <c r="E141" s="3"/>
      <c r="F141" s="3"/>
      <c r="G141" s="3"/>
      <c r="H141" s="3"/>
      <c r="I141" s="3"/>
      <c r="J141" s="3"/>
      <c r="K141" s="3"/>
      <c r="L141" s="3"/>
      <c r="M141" s="3"/>
      <c r="N141" s="3"/>
      <c r="O141" s="3"/>
      <c r="P141" s="3"/>
      <c r="Q141" s="3"/>
      <c r="R141" s="5"/>
      <c r="S141" s="3"/>
      <c r="T141" s="3"/>
      <c r="U141" s="3"/>
      <c r="V141" s="3"/>
      <c r="W141" s="3"/>
      <c r="X141" s="3"/>
      <c r="Y141" s="3"/>
      <c r="Z141" s="3"/>
    </row>
    <row r="142" ht="12.75" customHeight="1">
      <c r="A142" s="3"/>
      <c r="B142" s="3"/>
      <c r="C142" s="3"/>
      <c r="D142" s="3"/>
      <c r="E142" s="3"/>
      <c r="F142" s="3"/>
      <c r="G142" s="3"/>
      <c r="H142" s="3"/>
      <c r="I142" s="3"/>
      <c r="J142" s="3"/>
      <c r="K142" s="3"/>
      <c r="L142" s="3"/>
      <c r="M142" s="3"/>
      <c r="N142" s="3"/>
      <c r="O142" s="3"/>
      <c r="P142" s="3"/>
      <c r="Q142" s="3"/>
      <c r="R142" s="5"/>
      <c r="S142" s="3"/>
      <c r="T142" s="3"/>
      <c r="U142" s="3"/>
      <c r="V142" s="3"/>
      <c r="W142" s="3"/>
      <c r="X142" s="3"/>
      <c r="Y142" s="3"/>
      <c r="Z142" s="3"/>
    </row>
    <row r="143" ht="12.75" customHeight="1">
      <c r="A143" s="3"/>
      <c r="B143" s="3"/>
      <c r="C143" s="3"/>
      <c r="D143" s="3"/>
      <c r="E143" s="3"/>
      <c r="F143" s="3"/>
      <c r="G143" s="3"/>
      <c r="H143" s="3"/>
      <c r="I143" s="3"/>
      <c r="J143" s="3"/>
      <c r="K143" s="3"/>
      <c r="L143" s="3"/>
      <c r="M143" s="3"/>
      <c r="N143" s="3"/>
      <c r="O143" s="3"/>
      <c r="P143" s="3"/>
      <c r="Q143" s="3"/>
      <c r="R143" s="5"/>
      <c r="S143" s="3"/>
      <c r="T143" s="3"/>
      <c r="U143" s="3"/>
      <c r="V143" s="3"/>
      <c r="W143" s="3"/>
      <c r="X143" s="3"/>
      <c r="Y143" s="3"/>
      <c r="Z143" s="3"/>
    </row>
    <row r="144" ht="12.75" customHeight="1">
      <c r="A144" s="3"/>
      <c r="B144" s="3"/>
      <c r="C144" s="3"/>
      <c r="D144" s="3"/>
      <c r="E144" s="3"/>
      <c r="F144" s="3"/>
      <c r="G144" s="3"/>
      <c r="H144" s="3"/>
      <c r="I144" s="3"/>
      <c r="J144" s="3"/>
      <c r="K144" s="3"/>
      <c r="L144" s="3"/>
      <c r="M144" s="3"/>
      <c r="N144" s="3"/>
      <c r="O144" s="3"/>
      <c r="P144" s="3"/>
      <c r="Q144" s="3"/>
      <c r="R144" s="5"/>
      <c r="S144" s="3"/>
      <c r="T144" s="3"/>
      <c r="U144" s="3"/>
      <c r="V144" s="3"/>
      <c r="W144" s="3"/>
      <c r="X144" s="3"/>
      <c r="Y144" s="3"/>
      <c r="Z144" s="3"/>
    </row>
    <row r="145" ht="12.75" customHeight="1">
      <c r="A145" s="3"/>
      <c r="B145" s="3"/>
      <c r="C145" s="3"/>
      <c r="D145" s="3"/>
      <c r="E145" s="3"/>
      <c r="F145" s="3"/>
      <c r="G145" s="3"/>
      <c r="H145" s="3"/>
      <c r="I145" s="3"/>
      <c r="J145" s="3"/>
      <c r="K145" s="3"/>
      <c r="L145" s="3"/>
      <c r="M145" s="3"/>
      <c r="N145" s="3"/>
      <c r="O145" s="3"/>
      <c r="P145" s="3"/>
      <c r="Q145" s="3"/>
      <c r="R145" s="5"/>
      <c r="S145" s="3"/>
      <c r="T145" s="3"/>
      <c r="U145" s="3"/>
      <c r="V145" s="3"/>
      <c r="W145" s="3"/>
      <c r="X145" s="3"/>
      <c r="Y145" s="3"/>
      <c r="Z145" s="3"/>
    </row>
    <row r="146" ht="12.75" customHeight="1">
      <c r="A146" s="3"/>
      <c r="B146" s="3"/>
      <c r="C146" s="3"/>
      <c r="D146" s="3"/>
      <c r="E146" s="3"/>
      <c r="F146" s="3"/>
      <c r="G146" s="3"/>
      <c r="H146" s="3"/>
      <c r="I146" s="3"/>
      <c r="J146" s="3"/>
      <c r="K146" s="3"/>
      <c r="L146" s="3"/>
      <c r="M146" s="3"/>
      <c r="N146" s="3"/>
      <c r="O146" s="3"/>
      <c r="P146" s="3"/>
      <c r="Q146" s="3"/>
      <c r="R146" s="5"/>
      <c r="S146" s="3"/>
      <c r="T146" s="3"/>
      <c r="U146" s="3"/>
      <c r="V146" s="3"/>
      <c r="W146" s="3"/>
      <c r="X146" s="3"/>
      <c r="Y146" s="3"/>
      <c r="Z146" s="3"/>
    </row>
    <row r="147" ht="12.75" customHeight="1">
      <c r="A147" s="3"/>
      <c r="B147" s="3"/>
      <c r="C147" s="3"/>
      <c r="D147" s="3"/>
      <c r="E147" s="3"/>
      <c r="F147" s="3"/>
      <c r="G147" s="3"/>
      <c r="H147" s="3"/>
      <c r="I147" s="3"/>
      <c r="J147" s="3"/>
      <c r="K147" s="3"/>
      <c r="L147" s="3"/>
      <c r="M147" s="3"/>
      <c r="N147" s="3"/>
      <c r="O147" s="3"/>
      <c r="P147" s="3"/>
      <c r="Q147" s="3"/>
      <c r="R147" s="5"/>
      <c r="S147" s="3"/>
      <c r="T147" s="3"/>
      <c r="U147" s="3"/>
      <c r="V147" s="3"/>
      <c r="W147" s="3"/>
      <c r="X147" s="3"/>
      <c r="Y147" s="3"/>
      <c r="Z147" s="3"/>
    </row>
    <row r="148" ht="12.75" customHeight="1">
      <c r="A148" s="3"/>
      <c r="B148" s="3"/>
      <c r="C148" s="3"/>
      <c r="D148" s="3"/>
      <c r="E148" s="3"/>
      <c r="F148" s="3"/>
      <c r="G148" s="3"/>
      <c r="H148" s="3"/>
      <c r="I148" s="3"/>
      <c r="J148" s="3"/>
      <c r="K148" s="3"/>
      <c r="L148" s="3"/>
      <c r="M148" s="3"/>
      <c r="N148" s="3"/>
      <c r="O148" s="3"/>
      <c r="P148" s="3"/>
      <c r="Q148" s="3"/>
      <c r="R148" s="5"/>
      <c r="S148" s="3"/>
      <c r="T148" s="3"/>
      <c r="U148" s="3"/>
      <c r="V148" s="3"/>
      <c r="W148" s="3"/>
      <c r="X148" s="3"/>
      <c r="Y148" s="3"/>
      <c r="Z148" s="3"/>
    </row>
    <row r="149" ht="12.75" customHeight="1">
      <c r="A149" s="3"/>
      <c r="B149" s="3"/>
      <c r="C149" s="3"/>
      <c r="D149" s="3"/>
      <c r="E149" s="3"/>
      <c r="F149" s="3"/>
      <c r="G149" s="3"/>
      <c r="H149" s="3"/>
      <c r="I149" s="3"/>
      <c r="J149" s="3"/>
      <c r="K149" s="3"/>
      <c r="L149" s="3"/>
      <c r="M149" s="3"/>
      <c r="N149" s="3"/>
      <c r="O149" s="3"/>
      <c r="P149" s="3"/>
      <c r="Q149" s="3"/>
      <c r="R149" s="5"/>
      <c r="S149" s="3"/>
      <c r="T149" s="3"/>
      <c r="U149" s="3"/>
      <c r="V149" s="3"/>
      <c r="W149" s="3"/>
      <c r="X149" s="3"/>
      <c r="Y149" s="3"/>
      <c r="Z149" s="3"/>
    </row>
    <row r="150" ht="12.75" customHeight="1">
      <c r="A150" s="3"/>
      <c r="B150" s="3"/>
      <c r="C150" s="3"/>
      <c r="D150" s="3"/>
      <c r="E150" s="3"/>
      <c r="F150" s="3"/>
      <c r="G150" s="3"/>
      <c r="H150" s="3"/>
      <c r="I150" s="3"/>
      <c r="J150" s="3"/>
      <c r="K150" s="3"/>
      <c r="L150" s="3"/>
      <c r="M150" s="3"/>
      <c r="N150" s="3"/>
      <c r="O150" s="3"/>
      <c r="P150" s="3"/>
      <c r="Q150" s="3"/>
      <c r="R150" s="5"/>
      <c r="S150" s="3"/>
      <c r="T150" s="3"/>
      <c r="U150" s="3"/>
      <c r="V150" s="3"/>
      <c r="W150" s="3"/>
      <c r="X150" s="3"/>
      <c r="Y150" s="3"/>
      <c r="Z150" s="3"/>
    </row>
    <row r="151" ht="12.75" customHeight="1">
      <c r="A151" s="3"/>
      <c r="B151" s="3"/>
      <c r="C151" s="3"/>
      <c r="D151" s="3"/>
      <c r="E151" s="3"/>
      <c r="F151" s="3"/>
      <c r="G151" s="3"/>
      <c r="H151" s="3"/>
      <c r="I151" s="3"/>
      <c r="J151" s="3"/>
      <c r="K151" s="3"/>
      <c r="L151" s="3"/>
      <c r="M151" s="3"/>
      <c r="N151" s="3"/>
      <c r="O151" s="3"/>
      <c r="P151" s="3"/>
      <c r="Q151" s="3"/>
      <c r="R151" s="5"/>
      <c r="S151" s="3"/>
      <c r="T151" s="3"/>
      <c r="U151" s="3"/>
      <c r="V151" s="3"/>
      <c r="W151" s="3"/>
      <c r="X151" s="3"/>
      <c r="Y151" s="3"/>
      <c r="Z151" s="3"/>
    </row>
    <row r="152" ht="12.75" customHeight="1">
      <c r="A152" s="3"/>
      <c r="B152" s="3"/>
      <c r="C152" s="3"/>
      <c r="D152" s="3"/>
      <c r="E152" s="3"/>
      <c r="F152" s="3"/>
      <c r="G152" s="3"/>
      <c r="H152" s="3"/>
      <c r="I152" s="3"/>
      <c r="J152" s="3"/>
      <c r="K152" s="3"/>
      <c r="L152" s="3"/>
      <c r="M152" s="3"/>
      <c r="N152" s="3"/>
      <c r="O152" s="3"/>
      <c r="P152" s="3"/>
      <c r="Q152" s="3"/>
      <c r="R152" s="5"/>
      <c r="S152" s="3"/>
      <c r="T152" s="3"/>
      <c r="U152" s="3"/>
      <c r="V152" s="3"/>
      <c r="W152" s="3"/>
      <c r="X152" s="3"/>
      <c r="Y152" s="3"/>
      <c r="Z152" s="3"/>
    </row>
    <row r="153" ht="12.75" customHeight="1">
      <c r="A153" s="3"/>
      <c r="B153" s="3"/>
      <c r="C153" s="3"/>
      <c r="D153" s="3"/>
      <c r="E153" s="3"/>
      <c r="F153" s="3"/>
      <c r="G153" s="3"/>
      <c r="H153" s="3"/>
      <c r="I153" s="3"/>
      <c r="J153" s="3"/>
      <c r="K153" s="3"/>
      <c r="L153" s="3"/>
      <c r="M153" s="3"/>
      <c r="N153" s="3"/>
      <c r="O153" s="3"/>
      <c r="P153" s="3"/>
      <c r="Q153" s="3"/>
      <c r="R153" s="5"/>
      <c r="S153" s="3"/>
      <c r="T153" s="3"/>
      <c r="U153" s="3"/>
      <c r="V153" s="3"/>
      <c r="W153" s="3"/>
      <c r="X153" s="3"/>
      <c r="Y153" s="3"/>
      <c r="Z153" s="3"/>
    </row>
    <row r="154" ht="12.75" customHeight="1">
      <c r="A154" s="3"/>
      <c r="B154" s="3"/>
      <c r="C154" s="3"/>
      <c r="D154" s="3"/>
      <c r="E154" s="3"/>
      <c r="F154" s="3"/>
      <c r="G154" s="3"/>
      <c r="H154" s="3"/>
      <c r="I154" s="3"/>
      <c r="J154" s="3"/>
      <c r="K154" s="3"/>
      <c r="L154" s="3"/>
      <c r="M154" s="3"/>
      <c r="N154" s="3"/>
      <c r="O154" s="3"/>
      <c r="P154" s="3"/>
      <c r="Q154" s="3"/>
      <c r="R154" s="5"/>
      <c r="S154" s="3"/>
      <c r="T154" s="3"/>
      <c r="U154" s="3"/>
      <c r="V154" s="3"/>
      <c r="W154" s="3"/>
      <c r="X154" s="3"/>
      <c r="Y154" s="3"/>
      <c r="Z154" s="3"/>
    </row>
    <row r="155" ht="12.75" customHeight="1">
      <c r="A155" s="3"/>
      <c r="B155" s="3"/>
      <c r="C155" s="3"/>
      <c r="D155" s="3"/>
      <c r="E155" s="3"/>
      <c r="F155" s="3"/>
      <c r="G155" s="3"/>
      <c r="H155" s="3"/>
      <c r="I155" s="3"/>
      <c r="J155" s="3"/>
      <c r="K155" s="3"/>
      <c r="L155" s="3"/>
      <c r="M155" s="3"/>
      <c r="N155" s="3"/>
      <c r="O155" s="3"/>
      <c r="P155" s="3"/>
      <c r="Q155" s="3"/>
      <c r="R155" s="5"/>
      <c r="S155" s="3"/>
      <c r="T155" s="3"/>
      <c r="U155" s="3"/>
      <c r="V155" s="3"/>
      <c r="W155" s="3"/>
      <c r="X155" s="3"/>
      <c r="Y155" s="3"/>
      <c r="Z155" s="3"/>
    </row>
    <row r="156" ht="12.75" customHeight="1">
      <c r="A156" s="3"/>
      <c r="B156" s="3"/>
      <c r="C156" s="3"/>
      <c r="D156" s="3"/>
      <c r="E156" s="3"/>
      <c r="F156" s="3"/>
      <c r="G156" s="3"/>
      <c r="H156" s="3"/>
      <c r="I156" s="3"/>
      <c r="J156" s="3"/>
      <c r="K156" s="3"/>
      <c r="L156" s="3"/>
      <c r="M156" s="3"/>
      <c r="N156" s="3"/>
      <c r="O156" s="3"/>
      <c r="P156" s="3"/>
      <c r="Q156" s="3"/>
      <c r="R156" s="5"/>
      <c r="S156" s="3"/>
      <c r="T156" s="3"/>
      <c r="U156" s="3"/>
      <c r="V156" s="3"/>
      <c r="W156" s="3"/>
      <c r="X156" s="3"/>
      <c r="Y156" s="3"/>
      <c r="Z156" s="3"/>
    </row>
    <row r="157" ht="12.75" customHeight="1">
      <c r="A157" s="3"/>
      <c r="B157" s="3"/>
      <c r="C157" s="3"/>
      <c r="D157" s="3"/>
      <c r="E157" s="3"/>
      <c r="F157" s="3"/>
      <c r="G157" s="3"/>
      <c r="H157" s="3"/>
      <c r="I157" s="3"/>
      <c r="J157" s="3"/>
      <c r="K157" s="3"/>
      <c r="L157" s="3"/>
      <c r="M157" s="3"/>
      <c r="N157" s="3"/>
      <c r="O157" s="3"/>
      <c r="P157" s="3"/>
      <c r="Q157" s="3"/>
      <c r="R157" s="5"/>
      <c r="S157" s="3"/>
      <c r="T157" s="3"/>
      <c r="U157" s="3"/>
      <c r="V157" s="3"/>
      <c r="W157" s="3"/>
      <c r="X157" s="3"/>
      <c r="Y157" s="3"/>
      <c r="Z157" s="3"/>
    </row>
    <row r="158" ht="12.75" customHeight="1">
      <c r="A158" s="3"/>
      <c r="B158" s="3"/>
      <c r="C158" s="3"/>
      <c r="D158" s="3"/>
      <c r="E158" s="3"/>
      <c r="F158" s="3"/>
      <c r="G158" s="3"/>
      <c r="H158" s="3"/>
      <c r="I158" s="3"/>
      <c r="J158" s="3"/>
      <c r="K158" s="3"/>
      <c r="L158" s="3"/>
      <c r="M158" s="3"/>
      <c r="N158" s="3"/>
      <c r="O158" s="3"/>
      <c r="P158" s="3"/>
      <c r="Q158" s="3"/>
      <c r="R158" s="5"/>
      <c r="S158" s="3"/>
      <c r="T158" s="3"/>
      <c r="U158" s="3"/>
      <c r="V158" s="3"/>
      <c r="W158" s="3"/>
      <c r="X158" s="3"/>
      <c r="Y158" s="3"/>
      <c r="Z158" s="3"/>
    </row>
    <row r="159" ht="12.75" customHeight="1">
      <c r="A159" s="3"/>
      <c r="B159" s="3"/>
      <c r="C159" s="3"/>
      <c r="D159" s="3"/>
      <c r="E159" s="3"/>
      <c r="F159" s="3"/>
      <c r="G159" s="3"/>
      <c r="H159" s="3"/>
      <c r="I159" s="3"/>
      <c r="J159" s="3"/>
      <c r="K159" s="3"/>
      <c r="L159" s="3"/>
      <c r="M159" s="3"/>
      <c r="N159" s="3"/>
      <c r="O159" s="3"/>
      <c r="P159" s="3"/>
      <c r="Q159" s="3"/>
      <c r="R159" s="5"/>
      <c r="S159" s="3"/>
      <c r="T159" s="3"/>
      <c r="U159" s="3"/>
      <c r="V159" s="3"/>
      <c r="W159" s="3"/>
      <c r="X159" s="3"/>
      <c r="Y159" s="3"/>
      <c r="Z159" s="3"/>
    </row>
    <row r="160" ht="12.75" customHeight="1">
      <c r="A160" s="3"/>
      <c r="B160" s="3"/>
      <c r="C160" s="3"/>
      <c r="D160" s="3"/>
      <c r="E160" s="3"/>
      <c r="F160" s="3"/>
      <c r="G160" s="3"/>
      <c r="H160" s="3"/>
      <c r="I160" s="3"/>
      <c r="J160" s="3"/>
      <c r="K160" s="3"/>
      <c r="L160" s="3"/>
      <c r="M160" s="3"/>
      <c r="N160" s="3"/>
      <c r="O160" s="3"/>
      <c r="P160" s="3"/>
      <c r="Q160" s="3"/>
      <c r="R160" s="5"/>
      <c r="S160" s="3"/>
      <c r="T160" s="3"/>
      <c r="U160" s="3"/>
      <c r="V160" s="3"/>
      <c r="W160" s="3"/>
      <c r="X160" s="3"/>
      <c r="Y160" s="3"/>
      <c r="Z160" s="3"/>
    </row>
    <row r="161" ht="12.75" customHeight="1">
      <c r="A161" s="3"/>
      <c r="B161" s="3"/>
      <c r="C161" s="3"/>
      <c r="D161" s="3"/>
      <c r="E161" s="3"/>
      <c r="F161" s="3"/>
      <c r="G161" s="3"/>
      <c r="H161" s="3"/>
      <c r="I161" s="3"/>
      <c r="J161" s="3"/>
      <c r="K161" s="3"/>
      <c r="L161" s="3"/>
      <c r="M161" s="3"/>
      <c r="N161" s="3"/>
      <c r="O161" s="3"/>
      <c r="P161" s="3"/>
      <c r="Q161" s="3"/>
      <c r="R161" s="5"/>
      <c r="S161" s="3"/>
      <c r="T161" s="3"/>
      <c r="U161" s="3"/>
      <c r="V161" s="3"/>
      <c r="W161" s="3"/>
      <c r="X161" s="3"/>
      <c r="Y161" s="3"/>
      <c r="Z161" s="3"/>
    </row>
    <row r="162" ht="12.75" customHeight="1">
      <c r="A162" s="3"/>
      <c r="B162" s="3"/>
      <c r="C162" s="3"/>
      <c r="D162" s="3"/>
      <c r="E162" s="3"/>
      <c r="F162" s="3"/>
      <c r="G162" s="3"/>
      <c r="H162" s="3"/>
      <c r="I162" s="3"/>
      <c r="J162" s="3"/>
      <c r="K162" s="3"/>
      <c r="L162" s="3"/>
      <c r="M162" s="3"/>
      <c r="N162" s="3"/>
      <c r="O162" s="3"/>
      <c r="P162" s="3"/>
      <c r="Q162" s="3"/>
      <c r="R162" s="5"/>
      <c r="S162" s="3"/>
      <c r="T162" s="3"/>
      <c r="U162" s="3"/>
      <c r="V162" s="3"/>
      <c r="W162" s="3"/>
      <c r="X162" s="3"/>
      <c r="Y162" s="3"/>
      <c r="Z162" s="3"/>
    </row>
    <row r="163" ht="12.75" customHeight="1">
      <c r="A163" s="3"/>
      <c r="B163" s="3"/>
      <c r="C163" s="3"/>
      <c r="D163" s="3"/>
      <c r="E163" s="3"/>
      <c r="F163" s="3"/>
      <c r="G163" s="3"/>
      <c r="H163" s="3"/>
      <c r="I163" s="3"/>
      <c r="J163" s="3"/>
      <c r="K163" s="3"/>
      <c r="L163" s="3"/>
      <c r="M163" s="3"/>
      <c r="N163" s="3"/>
      <c r="O163" s="3"/>
      <c r="P163" s="3"/>
      <c r="Q163" s="3"/>
      <c r="R163" s="5"/>
      <c r="S163" s="3"/>
      <c r="T163" s="3"/>
      <c r="U163" s="3"/>
      <c r="V163" s="3"/>
      <c r="W163" s="3"/>
      <c r="X163" s="3"/>
      <c r="Y163" s="3"/>
      <c r="Z163" s="3"/>
    </row>
    <row r="164" ht="12.75" customHeight="1">
      <c r="A164" s="3"/>
      <c r="B164" s="3"/>
      <c r="C164" s="3"/>
      <c r="D164" s="3"/>
      <c r="E164" s="3"/>
      <c r="F164" s="3"/>
      <c r="G164" s="3"/>
      <c r="H164" s="3"/>
      <c r="I164" s="3"/>
      <c r="J164" s="3"/>
      <c r="K164" s="3"/>
      <c r="L164" s="3"/>
      <c r="M164" s="3"/>
      <c r="N164" s="3"/>
      <c r="O164" s="3"/>
      <c r="P164" s="3"/>
      <c r="Q164" s="3"/>
      <c r="R164" s="5"/>
      <c r="S164" s="3"/>
      <c r="T164" s="3"/>
      <c r="U164" s="3"/>
      <c r="V164" s="3"/>
      <c r="W164" s="3"/>
      <c r="X164" s="3"/>
      <c r="Y164" s="3"/>
      <c r="Z164" s="3"/>
    </row>
    <row r="165" ht="12.75" customHeight="1">
      <c r="A165" s="3"/>
      <c r="B165" s="3"/>
      <c r="C165" s="3"/>
      <c r="D165" s="3"/>
      <c r="E165" s="3"/>
      <c r="F165" s="3"/>
      <c r="G165" s="3"/>
      <c r="H165" s="3"/>
      <c r="I165" s="3"/>
      <c r="J165" s="3"/>
      <c r="K165" s="3"/>
      <c r="L165" s="3"/>
      <c r="M165" s="3"/>
      <c r="N165" s="3"/>
      <c r="O165" s="3"/>
      <c r="P165" s="3"/>
      <c r="Q165" s="3"/>
      <c r="R165" s="5"/>
      <c r="S165" s="3"/>
      <c r="T165" s="3"/>
      <c r="U165" s="3"/>
      <c r="V165" s="3"/>
      <c r="W165" s="3"/>
      <c r="X165" s="3"/>
      <c r="Y165" s="3"/>
      <c r="Z165" s="3"/>
    </row>
    <row r="166" ht="12.75" customHeight="1">
      <c r="A166" s="3"/>
      <c r="B166" s="3"/>
      <c r="C166" s="3"/>
      <c r="D166" s="3"/>
      <c r="E166" s="3"/>
      <c r="F166" s="3"/>
      <c r="G166" s="3"/>
      <c r="H166" s="3"/>
      <c r="I166" s="3"/>
      <c r="J166" s="3"/>
      <c r="K166" s="3"/>
      <c r="L166" s="3"/>
      <c r="M166" s="3"/>
      <c r="N166" s="3"/>
      <c r="O166" s="3"/>
      <c r="P166" s="3"/>
      <c r="Q166" s="3"/>
      <c r="R166" s="5"/>
      <c r="S166" s="3"/>
      <c r="T166" s="3"/>
      <c r="U166" s="3"/>
      <c r="V166" s="3"/>
      <c r="W166" s="3"/>
      <c r="X166" s="3"/>
      <c r="Y166" s="3"/>
      <c r="Z166" s="3"/>
    </row>
    <row r="167" ht="12.75" customHeight="1">
      <c r="A167" s="3"/>
      <c r="B167" s="3"/>
      <c r="C167" s="3"/>
      <c r="D167" s="3"/>
      <c r="E167" s="3"/>
      <c r="F167" s="3"/>
      <c r="G167" s="3"/>
      <c r="H167" s="3"/>
      <c r="I167" s="3"/>
      <c r="J167" s="3"/>
      <c r="K167" s="3"/>
      <c r="L167" s="3"/>
      <c r="M167" s="3"/>
      <c r="N167" s="3"/>
      <c r="O167" s="3"/>
      <c r="P167" s="3"/>
      <c r="Q167" s="3"/>
      <c r="R167" s="5"/>
      <c r="S167" s="3"/>
      <c r="T167" s="3"/>
      <c r="U167" s="3"/>
      <c r="V167" s="3"/>
      <c r="W167" s="3"/>
      <c r="X167" s="3"/>
      <c r="Y167" s="3"/>
      <c r="Z167" s="3"/>
    </row>
    <row r="168" ht="12.75" customHeight="1">
      <c r="A168" s="3"/>
      <c r="B168" s="3"/>
      <c r="C168" s="3"/>
      <c r="D168" s="3"/>
      <c r="E168" s="3"/>
      <c r="F168" s="3"/>
      <c r="G168" s="3"/>
      <c r="H168" s="3"/>
      <c r="I168" s="3"/>
      <c r="J168" s="3"/>
      <c r="K168" s="3"/>
      <c r="L168" s="3"/>
      <c r="M168" s="3"/>
      <c r="N168" s="3"/>
      <c r="O168" s="3"/>
      <c r="P168" s="3"/>
      <c r="Q168" s="3"/>
      <c r="R168" s="5"/>
      <c r="S168" s="3"/>
      <c r="T168" s="3"/>
      <c r="U168" s="3"/>
      <c r="V168" s="3"/>
      <c r="W168" s="3"/>
      <c r="X168" s="3"/>
      <c r="Y168" s="3"/>
      <c r="Z168" s="3"/>
    </row>
    <row r="169" ht="12.75" customHeight="1">
      <c r="A169" s="3"/>
      <c r="B169" s="3"/>
      <c r="C169" s="3"/>
      <c r="D169" s="3"/>
      <c r="E169" s="3"/>
      <c r="F169" s="3"/>
      <c r="G169" s="3"/>
      <c r="H169" s="3"/>
      <c r="I169" s="3"/>
      <c r="J169" s="3"/>
      <c r="K169" s="3"/>
      <c r="L169" s="3"/>
      <c r="M169" s="3"/>
      <c r="N169" s="3"/>
      <c r="O169" s="3"/>
      <c r="P169" s="3"/>
      <c r="Q169" s="3"/>
      <c r="R169" s="5"/>
      <c r="S169" s="3"/>
      <c r="T169" s="3"/>
      <c r="U169" s="3"/>
      <c r="V169" s="3"/>
      <c r="W169" s="3"/>
      <c r="X169" s="3"/>
      <c r="Y169" s="3"/>
      <c r="Z169" s="3"/>
    </row>
    <row r="170" ht="12.75" customHeight="1">
      <c r="A170" s="3"/>
      <c r="B170" s="3"/>
      <c r="C170" s="3"/>
      <c r="D170" s="3"/>
      <c r="E170" s="3"/>
      <c r="F170" s="3"/>
      <c r="G170" s="3"/>
      <c r="H170" s="3"/>
      <c r="I170" s="3"/>
      <c r="J170" s="3"/>
      <c r="K170" s="3"/>
      <c r="L170" s="3"/>
      <c r="M170" s="3"/>
      <c r="N170" s="3"/>
      <c r="O170" s="3"/>
      <c r="P170" s="3"/>
      <c r="Q170" s="3"/>
      <c r="R170" s="5"/>
      <c r="S170" s="3"/>
      <c r="T170" s="3"/>
      <c r="U170" s="3"/>
      <c r="V170" s="3"/>
      <c r="W170" s="3"/>
      <c r="X170" s="3"/>
      <c r="Y170" s="3"/>
      <c r="Z170" s="3"/>
    </row>
    <row r="171" ht="12.75" customHeight="1">
      <c r="A171" s="3"/>
      <c r="B171" s="3"/>
      <c r="C171" s="3"/>
      <c r="D171" s="3"/>
      <c r="E171" s="3"/>
      <c r="F171" s="3"/>
      <c r="G171" s="3"/>
      <c r="H171" s="3"/>
      <c r="I171" s="3"/>
      <c r="J171" s="3"/>
      <c r="K171" s="3"/>
      <c r="L171" s="3"/>
      <c r="M171" s="3"/>
      <c r="N171" s="3"/>
      <c r="O171" s="3"/>
      <c r="P171" s="3"/>
      <c r="Q171" s="3"/>
      <c r="R171" s="5"/>
      <c r="S171" s="3"/>
      <c r="T171" s="3"/>
      <c r="U171" s="3"/>
      <c r="V171" s="3"/>
      <c r="W171" s="3"/>
      <c r="X171" s="3"/>
      <c r="Y171" s="3"/>
      <c r="Z171" s="3"/>
    </row>
    <row r="172" ht="12.75" customHeight="1">
      <c r="A172" s="3"/>
      <c r="B172" s="3"/>
      <c r="C172" s="3"/>
      <c r="D172" s="3"/>
      <c r="E172" s="3"/>
      <c r="F172" s="3"/>
      <c r="G172" s="3"/>
      <c r="H172" s="3"/>
      <c r="I172" s="3"/>
      <c r="J172" s="3"/>
      <c r="K172" s="3"/>
      <c r="L172" s="3"/>
      <c r="M172" s="3"/>
      <c r="N172" s="3"/>
      <c r="O172" s="3"/>
      <c r="P172" s="3"/>
      <c r="Q172" s="3"/>
      <c r="R172" s="5"/>
      <c r="S172" s="3"/>
      <c r="T172" s="3"/>
      <c r="U172" s="3"/>
      <c r="V172" s="3"/>
      <c r="W172" s="3"/>
      <c r="X172" s="3"/>
      <c r="Y172" s="3"/>
      <c r="Z172" s="3"/>
    </row>
    <row r="173" ht="12.75" customHeight="1">
      <c r="A173" s="3"/>
      <c r="B173" s="3"/>
      <c r="C173" s="3"/>
      <c r="D173" s="3"/>
      <c r="E173" s="3"/>
      <c r="F173" s="3"/>
      <c r="G173" s="3"/>
      <c r="H173" s="3"/>
      <c r="I173" s="3"/>
      <c r="J173" s="3"/>
      <c r="K173" s="3"/>
      <c r="L173" s="3"/>
      <c r="M173" s="3"/>
      <c r="N173" s="3"/>
      <c r="O173" s="3"/>
      <c r="P173" s="3"/>
      <c r="Q173" s="3"/>
      <c r="R173" s="5"/>
      <c r="S173" s="3"/>
      <c r="T173" s="3"/>
      <c r="U173" s="3"/>
      <c r="V173" s="3"/>
      <c r="W173" s="3"/>
      <c r="X173" s="3"/>
      <c r="Y173" s="3"/>
      <c r="Z173" s="3"/>
    </row>
    <row r="174" ht="12.75" customHeight="1">
      <c r="A174" s="3"/>
      <c r="B174" s="3"/>
      <c r="C174" s="3"/>
      <c r="D174" s="3"/>
      <c r="E174" s="3"/>
      <c r="F174" s="3"/>
      <c r="G174" s="3"/>
      <c r="H174" s="3"/>
      <c r="I174" s="3"/>
      <c r="J174" s="3"/>
      <c r="K174" s="3"/>
      <c r="L174" s="3"/>
      <c r="M174" s="3"/>
      <c r="N174" s="3"/>
      <c r="O174" s="3"/>
      <c r="P174" s="3"/>
      <c r="Q174" s="3"/>
      <c r="R174" s="5"/>
      <c r="S174" s="3"/>
      <c r="T174" s="3"/>
      <c r="U174" s="3"/>
      <c r="V174" s="3"/>
      <c r="W174" s="3"/>
      <c r="X174" s="3"/>
      <c r="Y174" s="3"/>
      <c r="Z174" s="3"/>
    </row>
    <row r="175" ht="12.75" customHeight="1">
      <c r="A175" s="3"/>
      <c r="B175" s="3"/>
      <c r="C175" s="3"/>
      <c r="D175" s="3"/>
      <c r="E175" s="3"/>
      <c r="F175" s="3"/>
      <c r="G175" s="3"/>
      <c r="H175" s="3"/>
      <c r="I175" s="3"/>
      <c r="J175" s="3"/>
      <c r="K175" s="3"/>
      <c r="L175" s="3"/>
      <c r="M175" s="3"/>
      <c r="N175" s="3"/>
      <c r="O175" s="3"/>
      <c r="P175" s="3"/>
      <c r="Q175" s="3"/>
      <c r="R175" s="5"/>
      <c r="S175" s="3"/>
      <c r="T175" s="3"/>
      <c r="U175" s="3"/>
      <c r="V175" s="3"/>
      <c r="W175" s="3"/>
      <c r="X175" s="3"/>
      <c r="Y175" s="3"/>
      <c r="Z175" s="3"/>
    </row>
    <row r="176" ht="12.75" customHeight="1">
      <c r="A176" s="3"/>
      <c r="B176" s="3"/>
      <c r="C176" s="3"/>
      <c r="D176" s="3"/>
      <c r="E176" s="3"/>
      <c r="F176" s="3"/>
      <c r="G176" s="3"/>
      <c r="H176" s="3"/>
      <c r="I176" s="3"/>
      <c r="J176" s="3"/>
      <c r="K176" s="3"/>
      <c r="L176" s="3"/>
      <c r="M176" s="3"/>
      <c r="N176" s="3"/>
      <c r="O176" s="3"/>
      <c r="P176" s="3"/>
      <c r="Q176" s="3"/>
      <c r="R176" s="5"/>
      <c r="S176" s="3"/>
      <c r="T176" s="3"/>
      <c r="U176" s="3"/>
      <c r="V176" s="3"/>
      <c r="W176" s="3"/>
      <c r="X176" s="3"/>
      <c r="Y176" s="3"/>
      <c r="Z176" s="3"/>
    </row>
    <row r="177" ht="12.75" customHeight="1">
      <c r="A177" s="3"/>
      <c r="B177" s="3"/>
      <c r="C177" s="3"/>
      <c r="D177" s="3"/>
      <c r="E177" s="3"/>
      <c r="F177" s="3"/>
      <c r="G177" s="3"/>
      <c r="H177" s="3"/>
      <c r="I177" s="3"/>
      <c r="J177" s="3"/>
      <c r="K177" s="3"/>
      <c r="L177" s="3"/>
      <c r="M177" s="3"/>
      <c r="N177" s="3"/>
      <c r="O177" s="3"/>
      <c r="P177" s="3"/>
      <c r="Q177" s="3"/>
      <c r="R177" s="5"/>
      <c r="S177" s="3"/>
      <c r="T177" s="3"/>
      <c r="U177" s="3"/>
      <c r="V177" s="3"/>
      <c r="W177" s="3"/>
      <c r="X177" s="3"/>
      <c r="Y177" s="3"/>
      <c r="Z177" s="3"/>
    </row>
    <row r="178" ht="12.75" customHeight="1">
      <c r="A178" s="3"/>
      <c r="B178" s="3"/>
      <c r="C178" s="3"/>
      <c r="D178" s="3"/>
      <c r="E178" s="3"/>
      <c r="F178" s="3"/>
      <c r="G178" s="3"/>
      <c r="H178" s="3"/>
      <c r="I178" s="3"/>
      <c r="J178" s="3"/>
      <c r="K178" s="3"/>
      <c r="L178" s="3"/>
      <c r="M178" s="3"/>
      <c r="N178" s="3"/>
      <c r="O178" s="3"/>
      <c r="P178" s="3"/>
      <c r="Q178" s="3"/>
      <c r="R178" s="5"/>
      <c r="S178" s="3"/>
      <c r="T178" s="3"/>
      <c r="U178" s="3"/>
      <c r="V178" s="3"/>
      <c r="W178" s="3"/>
      <c r="X178" s="3"/>
      <c r="Y178" s="3"/>
      <c r="Z178" s="3"/>
    </row>
    <row r="179" ht="12.75" customHeight="1">
      <c r="A179" s="3"/>
      <c r="B179" s="3"/>
      <c r="C179" s="3"/>
      <c r="D179" s="3"/>
      <c r="E179" s="3"/>
      <c r="F179" s="3"/>
      <c r="G179" s="3"/>
      <c r="H179" s="3"/>
      <c r="I179" s="3"/>
      <c r="J179" s="3"/>
      <c r="K179" s="3"/>
      <c r="L179" s="3"/>
      <c r="M179" s="3"/>
      <c r="N179" s="3"/>
      <c r="O179" s="3"/>
      <c r="P179" s="3"/>
      <c r="Q179" s="3"/>
      <c r="R179" s="5"/>
      <c r="S179" s="3"/>
      <c r="T179" s="3"/>
      <c r="U179" s="3"/>
      <c r="V179" s="3"/>
      <c r="W179" s="3"/>
      <c r="X179" s="3"/>
      <c r="Y179" s="3"/>
      <c r="Z179" s="3"/>
    </row>
    <row r="180" ht="12.75" customHeight="1">
      <c r="A180" s="3"/>
      <c r="B180" s="3"/>
      <c r="C180" s="3"/>
      <c r="D180" s="3"/>
      <c r="E180" s="3"/>
      <c r="F180" s="3"/>
      <c r="G180" s="3"/>
      <c r="H180" s="3"/>
      <c r="I180" s="3"/>
      <c r="J180" s="3"/>
      <c r="K180" s="3"/>
      <c r="L180" s="3"/>
      <c r="M180" s="3"/>
      <c r="N180" s="3"/>
      <c r="O180" s="3"/>
      <c r="P180" s="3"/>
      <c r="Q180" s="3"/>
      <c r="R180" s="5"/>
      <c r="S180" s="3"/>
      <c r="T180" s="3"/>
      <c r="U180" s="3"/>
      <c r="V180" s="3"/>
      <c r="W180" s="3"/>
      <c r="X180" s="3"/>
      <c r="Y180" s="3"/>
      <c r="Z180" s="3"/>
    </row>
    <row r="181" ht="12.75" customHeight="1">
      <c r="A181" s="3"/>
      <c r="B181" s="3"/>
      <c r="C181" s="3"/>
      <c r="D181" s="3"/>
      <c r="E181" s="3"/>
      <c r="F181" s="3"/>
      <c r="G181" s="3"/>
      <c r="H181" s="3"/>
      <c r="I181" s="3"/>
      <c r="J181" s="3"/>
      <c r="K181" s="3"/>
      <c r="L181" s="3"/>
      <c r="M181" s="3"/>
      <c r="N181" s="3"/>
      <c r="O181" s="3"/>
      <c r="P181" s="3"/>
      <c r="Q181" s="3"/>
      <c r="R181" s="5"/>
      <c r="S181" s="3"/>
      <c r="T181" s="3"/>
      <c r="U181" s="3"/>
      <c r="V181" s="3"/>
      <c r="W181" s="3"/>
      <c r="X181" s="3"/>
      <c r="Y181" s="3"/>
      <c r="Z181" s="3"/>
    </row>
    <row r="182" ht="12.75" customHeight="1">
      <c r="A182" s="3"/>
      <c r="B182" s="3"/>
      <c r="C182" s="3"/>
      <c r="D182" s="3"/>
      <c r="E182" s="3"/>
      <c r="F182" s="3"/>
      <c r="G182" s="3"/>
      <c r="H182" s="3"/>
      <c r="I182" s="3"/>
      <c r="J182" s="3"/>
      <c r="K182" s="3"/>
      <c r="L182" s="3"/>
      <c r="M182" s="3"/>
      <c r="N182" s="3"/>
      <c r="O182" s="3"/>
      <c r="P182" s="3"/>
      <c r="Q182" s="3"/>
      <c r="R182" s="5"/>
      <c r="S182" s="3"/>
      <c r="T182" s="3"/>
      <c r="U182" s="3"/>
      <c r="V182" s="3"/>
      <c r="W182" s="3"/>
      <c r="X182" s="3"/>
      <c r="Y182" s="3"/>
      <c r="Z182" s="3"/>
    </row>
    <row r="183" ht="12.75" customHeight="1">
      <c r="A183" s="3"/>
      <c r="B183" s="3"/>
      <c r="C183" s="3"/>
      <c r="D183" s="3"/>
      <c r="E183" s="3"/>
      <c r="F183" s="3"/>
      <c r="G183" s="3"/>
      <c r="H183" s="3"/>
      <c r="I183" s="3"/>
      <c r="J183" s="3"/>
      <c r="K183" s="3"/>
      <c r="L183" s="3"/>
      <c r="M183" s="3"/>
      <c r="N183" s="3"/>
      <c r="O183" s="3"/>
      <c r="P183" s="3"/>
      <c r="Q183" s="3"/>
      <c r="R183" s="5"/>
      <c r="S183" s="3"/>
      <c r="T183" s="3"/>
      <c r="U183" s="3"/>
      <c r="V183" s="3"/>
      <c r="W183" s="3"/>
      <c r="X183" s="3"/>
      <c r="Y183" s="3"/>
      <c r="Z183" s="3"/>
    </row>
    <row r="184" ht="12.75" customHeight="1">
      <c r="A184" s="3"/>
      <c r="B184" s="3"/>
      <c r="C184" s="3"/>
      <c r="D184" s="3"/>
      <c r="E184" s="3"/>
      <c r="F184" s="3"/>
      <c r="G184" s="3"/>
      <c r="H184" s="3"/>
      <c r="I184" s="3"/>
      <c r="J184" s="3"/>
      <c r="K184" s="3"/>
      <c r="L184" s="3"/>
      <c r="M184" s="3"/>
      <c r="N184" s="3"/>
      <c r="O184" s="3"/>
      <c r="P184" s="3"/>
      <c r="Q184" s="3"/>
      <c r="R184" s="5"/>
      <c r="S184" s="3"/>
      <c r="T184" s="3"/>
      <c r="U184" s="3"/>
      <c r="V184" s="3"/>
      <c r="W184" s="3"/>
      <c r="X184" s="3"/>
      <c r="Y184" s="3"/>
      <c r="Z184" s="3"/>
    </row>
    <row r="185" ht="12.75" customHeight="1">
      <c r="A185" s="3"/>
      <c r="B185" s="3"/>
      <c r="C185" s="3"/>
      <c r="D185" s="3"/>
      <c r="E185" s="3"/>
      <c r="F185" s="3"/>
      <c r="G185" s="3"/>
      <c r="H185" s="3"/>
      <c r="I185" s="3"/>
      <c r="J185" s="3"/>
      <c r="K185" s="3"/>
      <c r="L185" s="3"/>
      <c r="M185" s="3"/>
      <c r="N185" s="3"/>
      <c r="O185" s="3"/>
      <c r="P185" s="3"/>
      <c r="Q185" s="3"/>
      <c r="R185" s="5"/>
      <c r="S185" s="3"/>
      <c r="T185" s="3"/>
      <c r="U185" s="3"/>
      <c r="V185" s="3"/>
      <c r="W185" s="3"/>
      <c r="X185" s="3"/>
      <c r="Y185" s="3"/>
      <c r="Z185" s="3"/>
    </row>
    <row r="186" ht="12.75" customHeight="1">
      <c r="A186" s="3"/>
      <c r="B186" s="3"/>
      <c r="C186" s="3"/>
      <c r="D186" s="3"/>
      <c r="E186" s="3"/>
      <c r="F186" s="3"/>
      <c r="G186" s="3"/>
      <c r="H186" s="3"/>
      <c r="I186" s="3"/>
      <c r="J186" s="3"/>
      <c r="K186" s="3"/>
      <c r="L186" s="3"/>
      <c r="M186" s="3"/>
      <c r="N186" s="3"/>
      <c r="O186" s="3"/>
      <c r="P186" s="3"/>
      <c r="Q186" s="3"/>
      <c r="R186" s="5"/>
      <c r="S186" s="3"/>
      <c r="T186" s="3"/>
      <c r="U186" s="3"/>
      <c r="V186" s="3"/>
      <c r="W186" s="3"/>
      <c r="X186" s="3"/>
      <c r="Y186" s="3"/>
      <c r="Z186" s="3"/>
    </row>
    <row r="187" ht="12.75" customHeight="1">
      <c r="A187" s="3"/>
      <c r="B187" s="3"/>
      <c r="C187" s="3"/>
      <c r="D187" s="3"/>
      <c r="E187" s="3"/>
      <c r="F187" s="3"/>
      <c r="G187" s="3"/>
      <c r="H187" s="3"/>
      <c r="I187" s="3"/>
      <c r="J187" s="3"/>
      <c r="K187" s="3"/>
      <c r="L187" s="3"/>
      <c r="M187" s="3"/>
      <c r="N187" s="3"/>
      <c r="O187" s="3"/>
      <c r="P187" s="3"/>
      <c r="Q187" s="3"/>
      <c r="R187" s="5"/>
      <c r="S187" s="3"/>
      <c r="T187" s="3"/>
      <c r="U187" s="3"/>
      <c r="V187" s="3"/>
      <c r="W187" s="3"/>
      <c r="X187" s="3"/>
      <c r="Y187" s="3"/>
      <c r="Z187" s="3"/>
    </row>
    <row r="188" ht="12.75" customHeight="1">
      <c r="A188" s="3"/>
      <c r="B188" s="3"/>
      <c r="C188" s="3"/>
      <c r="D188" s="3"/>
      <c r="E188" s="3"/>
      <c r="F188" s="3"/>
      <c r="G188" s="3"/>
      <c r="H188" s="3"/>
      <c r="I188" s="3"/>
      <c r="J188" s="3"/>
      <c r="K188" s="3"/>
      <c r="L188" s="3"/>
      <c r="M188" s="3"/>
      <c r="N188" s="3"/>
      <c r="O188" s="3"/>
      <c r="P188" s="3"/>
      <c r="Q188" s="3"/>
      <c r="R188" s="5"/>
      <c r="S188" s="3"/>
      <c r="T188" s="3"/>
      <c r="U188" s="3"/>
      <c r="V188" s="3"/>
      <c r="W188" s="3"/>
      <c r="X188" s="3"/>
      <c r="Y188" s="3"/>
      <c r="Z188" s="3"/>
    </row>
    <row r="189" ht="12.75" customHeight="1">
      <c r="A189" s="3"/>
      <c r="B189" s="3"/>
      <c r="C189" s="3"/>
      <c r="D189" s="3"/>
      <c r="E189" s="3"/>
      <c r="F189" s="3"/>
      <c r="G189" s="3"/>
      <c r="H189" s="3"/>
      <c r="I189" s="3"/>
      <c r="J189" s="3"/>
      <c r="K189" s="3"/>
      <c r="L189" s="3"/>
      <c r="M189" s="3"/>
      <c r="N189" s="3"/>
      <c r="O189" s="3"/>
      <c r="P189" s="3"/>
      <c r="Q189" s="3"/>
      <c r="R189" s="5"/>
      <c r="S189" s="3"/>
      <c r="T189" s="3"/>
      <c r="U189" s="3"/>
      <c r="V189" s="3"/>
      <c r="W189" s="3"/>
      <c r="X189" s="3"/>
      <c r="Y189" s="3"/>
      <c r="Z189" s="3"/>
    </row>
    <row r="190" ht="12.75" customHeight="1">
      <c r="A190" s="3"/>
      <c r="B190" s="3"/>
      <c r="C190" s="3"/>
      <c r="D190" s="3"/>
      <c r="E190" s="3"/>
      <c r="F190" s="3"/>
      <c r="G190" s="3"/>
      <c r="H190" s="3"/>
      <c r="I190" s="3"/>
      <c r="J190" s="3"/>
      <c r="K190" s="3"/>
      <c r="L190" s="3"/>
      <c r="M190" s="3"/>
      <c r="N190" s="3"/>
      <c r="O190" s="3"/>
      <c r="P190" s="3"/>
      <c r="Q190" s="3"/>
      <c r="R190" s="5"/>
      <c r="S190" s="3"/>
      <c r="T190" s="3"/>
      <c r="U190" s="3"/>
      <c r="V190" s="3"/>
      <c r="W190" s="3"/>
      <c r="X190" s="3"/>
      <c r="Y190" s="3"/>
      <c r="Z190" s="3"/>
    </row>
    <row r="191" ht="12.75" customHeight="1">
      <c r="A191" s="3"/>
      <c r="B191" s="3"/>
      <c r="C191" s="3"/>
      <c r="D191" s="3"/>
      <c r="E191" s="3"/>
      <c r="F191" s="3"/>
      <c r="G191" s="3"/>
      <c r="H191" s="3"/>
      <c r="I191" s="3"/>
      <c r="J191" s="3"/>
      <c r="K191" s="3"/>
      <c r="L191" s="3"/>
      <c r="M191" s="3"/>
      <c r="N191" s="3"/>
      <c r="O191" s="3"/>
      <c r="P191" s="3"/>
      <c r="Q191" s="3"/>
      <c r="R191" s="5"/>
      <c r="S191" s="3"/>
      <c r="T191" s="3"/>
      <c r="U191" s="3"/>
      <c r="V191" s="3"/>
      <c r="W191" s="3"/>
      <c r="X191" s="3"/>
      <c r="Y191" s="3"/>
      <c r="Z191" s="3"/>
    </row>
    <row r="192" ht="12.75" customHeight="1">
      <c r="A192" s="3"/>
      <c r="B192" s="3"/>
      <c r="C192" s="3"/>
      <c r="D192" s="3"/>
      <c r="E192" s="3"/>
      <c r="F192" s="3"/>
      <c r="G192" s="3"/>
      <c r="H192" s="3"/>
      <c r="I192" s="3"/>
      <c r="J192" s="3"/>
      <c r="K192" s="3"/>
      <c r="L192" s="3"/>
      <c r="M192" s="3"/>
      <c r="N192" s="3"/>
      <c r="O192" s="3"/>
      <c r="P192" s="3"/>
      <c r="Q192" s="3"/>
      <c r="R192" s="5"/>
      <c r="S192" s="3"/>
      <c r="T192" s="3"/>
      <c r="U192" s="3"/>
      <c r="V192" s="3"/>
      <c r="W192" s="3"/>
      <c r="X192" s="3"/>
      <c r="Y192" s="3"/>
      <c r="Z192" s="3"/>
    </row>
    <row r="193" ht="12.75" customHeight="1">
      <c r="A193" s="3"/>
      <c r="B193" s="3"/>
      <c r="C193" s="3"/>
      <c r="D193" s="3"/>
      <c r="E193" s="3"/>
      <c r="F193" s="3"/>
      <c r="G193" s="3"/>
      <c r="H193" s="3"/>
      <c r="I193" s="3"/>
      <c r="J193" s="3"/>
      <c r="K193" s="3"/>
      <c r="L193" s="3"/>
      <c r="M193" s="3"/>
      <c r="N193" s="3"/>
      <c r="O193" s="3"/>
      <c r="P193" s="3"/>
      <c r="Q193" s="3"/>
      <c r="R193" s="5"/>
      <c r="S193" s="3"/>
      <c r="T193" s="3"/>
      <c r="U193" s="3"/>
      <c r="V193" s="3"/>
      <c r="W193" s="3"/>
      <c r="X193" s="3"/>
      <c r="Y193" s="3"/>
      <c r="Z193" s="3"/>
    </row>
    <row r="194" ht="12.75" customHeight="1">
      <c r="A194" s="3"/>
      <c r="B194" s="3"/>
      <c r="C194" s="3"/>
      <c r="D194" s="3"/>
      <c r="E194" s="3"/>
      <c r="F194" s="3"/>
      <c r="G194" s="3"/>
      <c r="H194" s="3"/>
      <c r="I194" s="3"/>
      <c r="J194" s="3"/>
      <c r="K194" s="3"/>
      <c r="L194" s="3"/>
      <c r="M194" s="3"/>
      <c r="N194" s="3"/>
      <c r="O194" s="3"/>
      <c r="P194" s="3"/>
      <c r="Q194" s="3"/>
      <c r="R194" s="5"/>
      <c r="S194" s="3"/>
      <c r="T194" s="3"/>
      <c r="U194" s="3"/>
      <c r="V194" s="3"/>
      <c r="W194" s="3"/>
      <c r="X194" s="3"/>
      <c r="Y194" s="3"/>
      <c r="Z194" s="3"/>
    </row>
    <row r="195" ht="12.75" customHeight="1">
      <c r="A195" s="3"/>
      <c r="B195" s="3"/>
      <c r="C195" s="3"/>
      <c r="D195" s="3"/>
      <c r="E195" s="3"/>
      <c r="F195" s="3"/>
      <c r="G195" s="3"/>
      <c r="H195" s="3"/>
      <c r="I195" s="3"/>
      <c r="J195" s="3"/>
      <c r="K195" s="3"/>
      <c r="L195" s="3"/>
      <c r="M195" s="3"/>
      <c r="N195" s="3"/>
      <c r="O195" s="3"/>
      <c r="P195" s="3"/>
      <c r="Q195" s="3"/>
      <c r="R195" s="5"/>
      <c r="S195" s="3"/>
      <c r="T195" s="3"/>
      <c r="U195" s="3"/>
      <c r="V195" s="3"/>
      <c r="W195" s="3"/>
      <c r="X195" s="3"/>
      <c r="Y195" s="3"/>
      <c r="Z195" s="3"/>
    </row>
    <row r="196" ht="12.75" customHeight="1">
      <c r="A196" s="3"/>
      <c r="B196" s="3"/>
      <c r="C196" s="3"/>
      <c r="D196" s="3"/>
      <c r="E196" s="3"/>
      <c r="F196" s="3"/>
      <c r="G196" s="3"/>
      <c r="H196" s="3"/>
      <c r="I196" s="3"/>
      <c r="J196" s="3"/>
      <c r="K196" s="3"/>
      <c r="L196" s="3"/>
      <c r="M196" s="3"/>
      <c r="N196" s="3"/>
      <c r="O196" s="3"/>
      <c r="P196" s="3"/>
      <c r="Q196" s="3"/>
      <c r="R196" s="5"/>
      <c r="S196" s="3"/>
      <c r="T196" s="3"/>
      <c r="U196" s="3"/>
      <c r="V196" s="3"/>
      <c r="W196" s="3"/>
      <c r="X196" s="3"/>
      <c r="Y196" s="3"/>
      <c r="Z196" s="3"/>
    </row>
    <row r="197" ht="12.75" customHeight="1">
      <c r="A197" s="3"/>
      <c r="B197" s="3"/>
      <c r="C197" s="3"/>
      <c r="D197" s="3"/>
      <c r="E197" s="3"/>
      <c r="F197" s="3"/>
      <c r="G197" s="3"/>
      <c r="H197" s="3"/>
      <c r="I197" s="3"/>
      <c r="J197" s="3"/>
      <c r="K197" s="3"/>
      <c r="L197" s="3"/>
      <c r="M197" s="3"/>
      <c r="N197" s="3"/>
      <c r="O197" s="3"/>
      <c r="P197" s="3"/>
      <c r="Q197" s="3"/>
      <c r="R197" s="5"/>
      <c r="S197" s="3"/>
      <c r="T197" s="3"/>
      <c r="U197" s="3"/>
      <c r="V197" s="3"/>
      <c r="W197" s="3"/>
      <c r="X197" s="3"/>
      <c r="Y197" s="3"/>
      <c r="Z197" s="3"/>
    </row>
    <row r="198" ht="12.75" customHeight="1">
      <c r="A198" s="3"/>
      <c r="B198" s="3"/>
      <c r="C198" s="3"/>
      <c r="D198" s="3"/>
      <c r="E198" s="3"/>
      <c r="F198" s="3"/>
      <c r="G198" s="3"/>
      <c r="H198" s="3"/>
      <c r="I198" s="3"/>
      <c r="J198" s="3"/>
      <c r="K198" s="3"/>
      <c r="L198" s="3"/>
      <c r="M198" s="3"/>
      <c r="N198" s="3"/>
      <c r="O198" s="3"/>
      <c r="P198" s="3"/>
      <c r="Q198" s="3"/>
      <c r="R198" s="5"/>
      <c r="S198" s="3"/>
      <c r="T198" s="3"/>
      <c r="U198" s="3"/>
      <c r="V198" s="3"/>
      <c r="W198" s="3"/>
      <c r="X198" s="3"/>
      <c r="Y198" s="3"/>
      <c r="Z198" s="3"/>
    </row>
    <row r="199" ht="12.75" customHeight="1">
      <c r="A199" s="3"/>
      <c r="B199" s="3"/>
      <c r="C199" s="3"/>
      <c r="D199" s="3"/>
      <c r="E199" s="3"/>
      <c r="F199" s="3"/>
      <c r="G199" s="3"/>
      <c r="H199" s="3"/>
      <c r="I199" s="3"/>
      <c r="J199" s="3"/>
      <c r="K199" s="3"/>
      <c r="L199" s="3"/>
      <c r="M199" s="3"/>
      <c r="N199" s="3"/>
      <c r="O199" s="3"/>
      <c r="P199" s="3"/>
      <c r="Q199" s="3"/>
      <c r="R199" s="5"/>
      <c r="S199" s="3"/>
      <c r="T199" s="3"/>
      <c r="U199" s="3"/>
      <c r="V199" s="3"/>
      <c r="W199" s="3"/>
      <c r="X199" s="3"/>
      <c r="Y199" s="3"/>
      <c r="Z199" s="3"/>
    </row>
    <row r="200" ht="12.75" customHeight="1">
      <c r="A200" s="3"/>
      <c r="B200" s="3"/>
      <c r="C200" s="3"/>
      <c r="D200" s="3"/>
      <c r="E200" s="3"/>
      <c r="F200" s="3"/>
      <c r="G200" s="3"/>
      <c r="H200" s="3"/>
      <c r="I200" s="3"/>
      <c r="J200" s="3"/>
      <c r="K200" s="3"/>
      <c r="L200" s="3"/>
      <c r="M200" s="3"/>
      <c r="N200" s="3"/>
      <c r="O200" s="3"/>
      <c r="P200" s="3"/>
      <c r="Q200" s="3"/>
      <c r="R200" s="5"/>
      <c r="S200" s="3"/>
      <c r="T200" s="3"/>
      <c r="U200" s="3"/>
      <c r="V200" s="3"/>
      <c r="W200" s="3"/>
      <c r="X200" s="3"/>
      <c r="Y200" s="3"/>
      <c r="Z200" s="3"/>
    </row>
    <row r="201" ht="12.75" customHeight="1">
      <c r="A201" s="3"/>
      <c r="B201" s="3"/>
      <c r="C201" s="3"/>
      <c r="D201" s="3"/>
      <c r="E201" s="3"/>
      <c r="F201" s="3"/>
      <c r="G201" s="3"/>
      <c r="H201" s="3"/>
      <c r="I201" s="3"/>
      <c r="J201" s="3"/>
      <c r="K201" s="3"/>
      <c r="L201" s="3"/>
      <c r="M201" s="3"/>
      <c r="N201" s="3"/>
      <c r="O201" s="3"/>
      <c r="P201" s="3"/>
      <c r="Q201" s="3"/>
      <c r="R201" s="5"/>
      <c r="S201" s="3"/>
      <c r="T201" s="3"/>
      <c r="U201" s="3"/>
      <c r="V201" s="3"/>
      <c r="W201" s="3"/>
      <c r="X201" s="3"/>
      <c r="Y201" s="3"/>
      <c r="Z201" s="3"/>
    </row>
    <row r="202" ht="12.75" customHeight="1">
      <c r="A202" s="3"/>
      <c r="B202" s="3"/>
      <c r="C202" s="3"/>
      <c r="D202" s="3"/>
      <c r="E202" s="3"/>
      <c r="F202" s="3"/>
      <c r="G202" s="3"/>
      <c r="H202" s="3"/>
      <c r="I202" s="3"/>
      <c r="J202" s="3"/>
      <c r="K202" s="3"/>
      <c r="L202" s="3"/>
      <c r="M202" s="3"/>
      <c r="N202" s="3"/>
      <c r="O202" s="3"/>
      <c r="P202" s="3"/>
      <c r="Q202" s="3"/>
      <c r="R202" s="5"/>
      <c r="S202" s="3"/>
      <c r="T202" s="3"/>
      <c r="U202" s="3"/>
      <c r="V202" s="3"/>
      <c r="W202" s="3"/>
      <c r="X202" s="3"/>
      <c r="Y202" s="3"/>
      <c r="Z202" s="3"/>
    </row>
    <row r="203" ht="12.75" customHeight="1">
      <c r="A203" s="3"/>
      <c r="B203" s="3"/>
      <c r="C203" s="3"/>
      <c r="D203" s="3"/>
      <c r="E203" s="3"/>
      <c r="F203" s="3"/>
      <c r="G203" s="3"/>
      <c r="H203" s="3"/>
      <c r="I203" s="3"/>
      <c r="J203" s="3"/>
      <c r="K203" s="3"/>
      <c r="L203" s="3"/>
      <c r="M203" s="3"/>
      <c r="N203" s="3"/>
      <c r="O203" s="3"/>
      <c r="P203" s="3"/>
      <c r="Q203" s="3"/>
      <c r="R203" s="5"/>
      <c r="S203" s="3"/>
      <c r="T203" s="3"/>
      <c r="U203" s="3"/>
      <c r="V203" s="3"/>
      <c r="W203" s="3"/>
      <c r="X203" s="3"/>
      <c r="Y203" s="3"/>
      <c r="Z203" s="3"/>
    </row>
    <row r="204" ht="12.75" customHeight="1">
      <c r="A204" s="3"/>
      <c r="B204" s="3"/>
      <c r="C204" s="3"/>
      <c r="D204" s="3"/>
      <c r="E204" s="3"/>
      <c r="F204" s="3"/>
      <c r="G204" s="3"/>
      <c r="H204" s="3"/>
      <c r="I204" s="3"/>
      <c r="J204" s="3"/>
      <c r="K204" s="3"/>
      <c r="L204" s="3"/>
      <c r="M204" s="3"/>
      <c r="N204" s="3"/>
      <c r="O204" s="3"/>
      <c r="P204" s="3"/>
      <c r="Q204" s="3"/>
      <c r="R204" s="5"/>
      <c r="S204" s="3"/>
      <c r="T204" s="3"/>
      <c r="U204" s="3"/>
      <c r="V204" s="3"/>
      <c r="W204" s="3"/>
      <c r="X204" s="3"/>
      <c r="Y204" s="3"/>
      <c r="Z204" s="3"/>
    </row>
    <row r="205" ht="12.75" customHeight="1">
      <c r="A205" s="3"/>
      <c r="B205" s="3"/>
      <c r="C205" s="3"/>
      <c r="D205" s="3"/>
      <c r="E205" s="3"/>
      <c r="F205" s="3"/>
      <c r="G205" s="3"/>
      <c r="H205" s="3"/>
      <c r="I205" s="3"/>
      <c r="J205" s="3"/>
      <c r="K205" s="3"/>
      <c r="L205" s="3"/>
      <c r="M205" s="3"/>
      <c r="N205" s="3"/>
      <c r="O205" s="3"/>
      <c r="P205" s="3"/>
      <c r="Q205" s="3"/>
      <c r="R205" s="5"/>
      <c r="S205" s="3"/>
      <c r="T205" s="3"/>
      <c r="U205" s="3"/>
      <c r="V205" s="3"/>
      <c r="W205" s="3"/>
      <c r="X205" s="3"/>
      <c r="Y205" s="3"/>
      <c r="Z205" s="3"/>
    </row>
    <row r="206" ht="12.75" customHeight="1">
      <c r="A206" s="3"/>
      <c r="B206" s="3"/>
      <c r="C206" s="3"/>
      <c r="D206" s="3"/>
      <c r="E206" s="3"/>
      <c r="F206" s="3"/>
      <c r="G206" s="3"/>
      <c r="H206" s="3"/>
      <c r="I206" s="3"/>
      <c r="J206" s="3"/>
      <c r="K206" s="3"/>
      <c r="L206" s="3"/>
      <c r="M206" s="3"/>
      <c r="N206" s="3"/>
      <c r="O206" s="3"/>
      <c r="P206" s="3"/>
      <c r="Q206" s="3"/>
      <c r="R206" s="5"/>
      <c r="S206" s="3"/>
      <c r="T206" s="3"/>
      <c r="U206" s="3"/>
      <c r="V206" s="3"/>
      <c r="W206" s="3"/>
      <c r="X206" s="3"/>
      <c r="Y206" s="3"/>
      <c r="Z206" s="3"/>
    </row>
    <row r="207" ht="12.75" customHeight="1">
      <c r="A207" s="3"/>
      <c r="B207" s="3"/>
      <c r="C207" s="3"/>
      <c r="D207" s="3"/>
      <c r="E207" s="3"/>
      <c r="F207" s="3"/>
      <c r="G207" s="3"/>
      <c r="H207" s="3"/>
      <c r="I207" s="3"/>
      <c r="J207" s="3"/>
      <c r="K207" s="3"/>
      <c r="L207" s="3"/>
      <c r="M207" s="3"/>
      <c r="N207" s="3"/>
      <c r="O207" s="3"/>
      <c r="P207" s="3"/>
      <c r="Q207" s="3"/>
      <c r="R207" s="5"/>
      <c r="S207" s="3"/>
      <c r="T207" s="3"/>
      <c r="U207" s="3"/>
      <c r="V207" s="3"/>
      <c r="W207" s="3"/>
      <c r="X207" s="3"/>
      <c r="Y207" s="3"/>
      <c r="Z207" s="3"/>
    </row>
    <row r="208" ht="12.75" customHeight="1">
      <c r="A208" s="3"/>
      <c r="B208" s="3"/>
      <c r="C208" s="3"/>
      <c r="D208" s="3"/>
      <c r="E208" s="3"/>
      <c r="F208" s="3"/>
      <c r="G208" s="3"/>
      <c r="H208" s="3"/>
      <c r="I208" s="3"/>
      <c r="J208" s="3"/>
      <c r="K208" s="3"/>
      <c r="L208" s="3"/>
      <c r="M208" s="3"/>
      <c r="N208" s="3"/>
      <c r="O208" s="3"/>
      <c r="P208" s="3"/>
      <c r="Q208" s="3"/>
      <c r="R208" s="5"/>
      <c r="S208" s="3"/>
      <c r="T208" s="3"/>
      <c r="U208" s="3"/>
      <c r="V208" s="3"/>
      <c r="W208" s="3"/>
      <c r="X208" s="3"/>
      <c r="Y208" s="3"/>
      <c r="Z208" s="3"/>
    </row>
    <row r="209" ht="12.75" customHeight="1">
      <c r="A209" s="3"/>
      <c r="B209" s="3"/>
      <c r="C209" s="3"/>
      <c r="D209" s="3"/>
      <c r="E209" s="3"/>
      <c r="F209" s="3"/>
      <c r="G209" s="3"/>
      <c r="H209" s="3"/>
      <c r="I209" s="3"/>
      <c r="J209" s="3"/>
      <c r="K209" s="3"/>
      <c r="L209" s="3"/>
      <c r="M209" s="3"/>
      <c r="N209" s="3"/>
      <c r="O209" s="3"/>
      <c r="P209" s="3"/>
      <c r="Q209" s="3"/>
      <c r="R209" s="5"/>
      <c r="S209" s="3"/>
      <c r="T209" s="3"/>
      <c r="U209" s="3"/>
      <c r="V209" s="3"/>
      <c r="W209" s="3"/>
      <c r="X209" s="3"/>
      <c r="Y209" s="3"/>
      <c r="Z209" s="3"/>
    </row>
    <row r="210" ht="12.75" customHeight="1">
      <c r="A210" s="3"/>
      <c r="B210" s="3"/>
      <c r="C210" s="3"/>
      <c r="D210" s="3"/>
      <c r="E210" s="3"/>
      <c r="F210" s="3"/>
      <c r="G210" s="3"/>
      <c r="H210" s="3"/>
      <c r="I210" s="3"/>
      <c r="J210" s="3"/>
      <c r="K210" s="3"/>
      <c r="L210" s="3"/>
      <c r="M210" s="3"/>
      <c r="N210" s="3"/>
      <c r="O210" s="3"/>
      <c r="P210" s="3"/>
      <c r="Q210" s="3"/>
      <c r="R210" s="5"/>
      <c r="S210" s="3"/>
      <c r="T210" s="3"/>
      <c r="U210" s="3"/>
      <c r="V210" s="3"/>
      <c r="W210" s="3"/>
      <c r="X210" s="3"/>
      <c r="Y210" s="3"/>
      <c r="Z210" s="3"/>
    </row>
    <row r="211" ht="12.75" customHeight="1">
      <c r="A211" s="3"/>
      <c r="B211" s="3"/>
      <c r="C211" s="3"/>
      <c r="D211" s="3"/>
      <c r="E211" s="3"/>
      <c r="F211" s="3"/>
      <c r="G211" s="3"/>
      <c r="H211" s="3"/>
      <c r="I211" s="3"/>
      <c r="J211" s="3"/>
      <c r="K211" s="3"/>
      <c r="L211" s="3"/>
      <c r="M211" s="3"/>
      <c r="N211" s="3"/>
      <c r="O211" s="3"/>
      <c r="P211" s="3"/>
      <c r="Q211" s="3"/>
      <c r="R211" s="5"/>
      <c r="S211" s="3"/>
      <c r="T211" s="3"/>
      <c r="U211" s="3"/>
      <c r="V211" s="3"/>
      <c r="W211" s="3"/>
      <c r="X211" s="3"/>
      <c r="Y211" s="3"/>
      <c r="Z211" s="3"/>
    </row>
    <row r="212" ht="12.75" customHeight="1">
      <c r="A212" s="3"/>
      <c r="B212" s="3"/>
      <c r="C212" s="3"/>
      <c r="D212" s="3"/>
      <c r="E212" s="3"/>
      <c r="F212" s="3"/>
      <c r="G212" s="3"/>
      <c r="H212" s="3"/>
      <c r="I212" s="3"/>
      <c r="J212" s="3"/>
      <c r="K212" s="3"/>
      <c r="L212" s="3"/>
      <c r="M212" s="3"/>
      <c r="N212" s="3"/>
      <c r="O212" s="3"/>
      <c r="P212" s="3"/>
      <c r="Q212" s="3"/>
      <c r="R212" s="5"/>
      <c r="S212" s="3"/>
      <c r="T212" s="3"/>
      <c r="U212" s="3"/>
      <c r="V212" s="3"/>
      <c r="W212" s="3"/>
      <c r="X212" s="3"/>
      <c r="Y212" s="3"/>
      <c r="Z212" s="3"/>
    </row>
    <row r="213" ht="12.75" customHeight="1">
      <c r="A213" s="3"/>
      <c r="B213" s="3"/>
      <c r="C213" s="3"/>
      <c r="D213" s="3"/>
      <c r="E213" s="3"/>
      <c r="F213" s="3"/>
      <c r="G213" s="3"/>
      <c r="H213" s="3"/>
      <c r="I213" s="3"/>
      <c r="J213" s="3"/>
      <c r="K213" s="3"/>
      <c r="L213" s="3"/>
      <c r="M213" s="3"/>
      <c r="N213" s="3"/>
      <c r="O213" s="3"/>
      <c r="P213" s="3"/>
      <c r="Q213" s="3"/>
      <c r="R213" s="5"/>
      <c r="S213" s="3"/>
      <c r="T213" s="3"/>
      <c r="U213" s="3"/>
      <c r="V213" s="3"/>
      <c r="W213" s="3"/>
      <c r="X213" s="3"/>
      <c r="Y213" s="3"/>
      <c r="Z213" s="3"/>
    </row>
    <row r="214" ht="12.75" customHeight="1">
      <c r="A214" s="3"/>
      <c r="B214" s="3"/>
      <c r="C214" s="3"/>
      <c r="D214" s="3"/>
      <c r="E214" s="3"/>
      <c r="F214" s="3"/>
      <c r="G214" s="3"/>
      <c r="H214" s="3"/>
      <c r="I214" s="3"/>
      <c r="J214" s="3"/>
      <c r="K214" s="3"/>
      <c r="L214" s="3"/>
      <c r="M214" s="3"/>
      <c r="N214" s="3"/>
      <c r="O214" s="3"/>
      <c r="P214" s="3"/>
      <c r="Q214" s="3"/>
      <c r="R214" s="5"/>
      <c r="S214" s="3"/>
      <c r="T214" s="3"/>
      <c r="U214" s="3"/>
      <c r="V214" s="3"/>
      <c r="W214" s="3"/>
      <c r="X214" s="3"/>
      <c r="Y214" s="3"/>
      <c r="Z214" s="3"/>
    </row>
    <row r="215" ht="12.75" customHeight="1">
      <c r="A215" s="3"/>
      <c r="B215" s="3"/>
      <c r="C215" s="3"/>
      <c r="D215" s="3"/>
      <c r="E215" s="3"/>
      <c r="F215" s="3"/>
      <c r="G215" s="3"/>
      <c r="H215" s="3"/>
      <c r="I215" s="3"/>
      <c r="J215" s="3"/>
      <c r="K215" s="3"/>
      <c r="L215" s="3"/>
      <c r="M215" s="3"/>
      <c r="N215" s="3"/>
      <c r="O215" s="3"/>
      <c r="P215" s="3"/>
      <c r="Q215" s="3"/>
      <c r="R215" s="5"/>
      <c r="S215" s="3"/>
      <c r="T215" s="3"/>
      <c r="U215" s="3"/>
      <c r="V215" s="3"/>
      <c r="W215" s="3"/>
      <c r="X215" s="3"/>
      <c r="Y215" s="3"/>
      <c r="Z215" s="3"/>
    </row>
    <row r="216" ht="12.75" customHeight="1">
      <c r="A216" s="3"/>
      <c r="B216" s="3"/>
      <c r="C216" s="3"/>
      <c r="D216" s="3"/>
      <c r="E216" s="3"/>
      <c r="F216" s="3"/>
      <c r="G216" s="3"/>
      <c r="H216" s="3"/>
      <c r="I216" s="3"/>
      <c r="J216" s="3"/>
      <c r="K216" s="3"/>
      <c r="L216" s="3"/>
      <c r="M216" s="3"/>
      <c r="N216" s="3"/>
      <c r="O216" s="3"/>
      <c r="P216" s="3"/>
      <c r="Q216" s="3"/>
      <c r="R216" s="5"/>
      <c r="S216" s="3"/>
      <c r="T216" s="3"/>
      <c r="U216" s="3"/>
      <c r="V216" s="3"/>
      <c r="W216" s="3"/>
      <c r="X216" s="3"/>
      <c r="Y216" s="3"/>
      <c r="Z216" s="3"/>
    </row>
    <row r="217" ht="12.75" customHeight="1">
      <c r="A217" s="3"/>
      <c r="B217" s="3"/>
      <c r="C217" s="3"/>
      <c r="D217" s="3"/>
      <c r="E217" s="3"/>
      <c r="F217" s="3"/>
      <c r="G217" s="3"/>
      <c r="H217" s="3"/>
      <c r="I217" s="3"/>
      <c r="J217" s="3"/>
      <c r="K217" s="3"/>
      <c r="L217" s="3"/>
      <c r="M217" s="3"/>
      <c r="N217" s="3"/>
      <c r="O217" s="3"/>
      <c r="P217" s="3"/>
      <c r="Q217" s="3"/>
      <c r="R217" s="5"/>
      <c r="S217" s="3"/>
      <c r="T217" s="3"/>
      <c r="U217" s="3"/>
      <c r="V217" s="3"/>
      <c r="W217" s="3"/>
      <c r="X217" s="3"/>
      <c r="Y217" s="3"/>
      <c r="Z217" s="3"/>
    </row>
    <row r="218" ht="12.75" customHeight="1">
      <c r="A218" s="3"/>
      <c r="B218" s="3"/>
      <c r="C218" s="3"/>
      <c r="D218" s="3"/>
      <c r="E218" s="3"/>
      <c r="F218" s="3"/>
      <c r="G218" s="3"/>
      <c r="H218" s="3"/>
      <c r="I218" s="3"/>
      <c r="J218" s="3"/>
      <c r="K218" s="3"/>
      <c r="L218" s="3"/>
      <c r="M218" s="3"/>
      <c r="N218" s="3"/>
      <c r="O218" s="3"/>
      <c r="P218" s="3"/>
      <c r="Q218" s="3"/>
      <c r="R218" s="5"/>
      <c r="S218" s="3"/>
      <c r="T218" s="3"/>
      <c r="U218" s="3"/>
      <c r="V218" s="3"/>
      <c r="W218" s="3"/>
      <c r="X218" s="3"/>
      <c r="Y218" s="3"/>
      <c r="Z218" s="3"/>
    </row>
    <row r="219" ht="12.75" customHeight="1">
      <c r="A219" s="3"/>
      <c r="B219" s="3"/>
      <c r="C219" s="3"/>
      <c r="D219" s="3"/>
      <c r="E219" s="3"/>
      <c r="F219" s="3"/>
      <c r="G219" s="3"/>
      <c r="H219" s="3"/>
      <c r="I219" s="3"/>
      <c r="J219" s="3"/>
      <c r="K219" s="3"/>
      <c r="L219" s="3"/>
      <c r="M219" s="3"/>
      <c r="N219" s="3"/>
      <c r="O219" s="3"/>
      <c r="P219" s="3"/>
      <c r="Q219" s="3"/>
      <c r="R219" s="5"/>
      <c r="S219" s="3"/>
      <c r="T219" s="3"/>
      <c r="U219" s="3"/>
      <c r="V219" s="3"/>
      <c r="W219" s="3"/>
      <c r="X219" s="3"/>
      <c r="Y219" s="3"/>
      <c r="Z219" s="3"/>
    </row>
    <row r="220" ht="12.75" customHeight="1">
      <c r="A220" s="3"/>
      <c r="B220" s="3"/>
      <c r="C220" s="3"/>
      <c r="D220" s="3"/>
      <c r="E220" s="3"/>
      <c r="F220" s="3"/>
      <c r="G220" s="3"/>
      <c r="H220" s="3"/>
      <c r="I220" s="3"/>
      <c r="J220" s="3"/>
      <c r="K220" s="3"/>
      <c r="L220" s="3"/>
      <c r="M220" s="3"/>
      <c r="N220" s="3"/>
      <c r="O220" s="3"/>
      <c r="P220" s="3"/>
      <c r="Q220" s="3"/>
      <c r="R220" s="5"/>
      <c r="S220" s="3"/>
      <c r="T220" s="3"/>
      <c r="U220" s="3"/>
      <c r="V220" s="3"/>
      <c r="W220" s="3"/>
      <c r="X220" s="3"/>
      <c r="Y220" s="3"/>
      <c r="Z220" s="3"/>
    </row>
    <row r="221" ht="12.75" customHeight="1">
      <c r="A221" s="3"/>
      <c r="B221" s="3"/>
      <c r="C221" s="3"/>
      <c r="D221" s="3"/>
      <c r="E221" s="3"/>
      <c r="F221" s="3"/>
      <c r="G221" s="3"/>
      <c r="H221" s="3"/>
      <c r="I221" s="3"/>
      <c r="J221" s="3"/>
      <c r="K221" s="3"/>
      <c r="L221" s="3"/>
      <c r="M221" s="3"/>
      <c r="N221" s="3"/>
      <c r="O221" s="3"/>
      <c r="P221" s="3"/>
      <c r="Q221" s="3"/>
      <c r="R221" s="5"/>
      <c r="S221" s="3"/>
      <c r="T221" s="3"/>
      <c r="U221" s="3"/>
      <c r="V221" s="3"/>
      <c r="W221" s="3"/>
      <c r="X221" s="3"/>
      <c r="Y221" s="3"/>
      <c r="Z221" s="3"/>
    </row>
    <row r="222" ht="12.75" customHeight="1">
      <c r="A222" s="3"/>
      <c r="B222" s="3"/>
      <c r="C222" s="3"/>
      <c r="D222" s="3"/>
      <c r="E222" s="3"/>
      <c r="F222" s="3"/>
      <c r="G222" s="3"/>
      <c r="H222" s="3"/>
      <c r="I222" s="3"/>
      <c r="J222" s="3"/>
      <c r="K222" s="3"/>
      <c r="L222" s="3"/>
      <c r="M222" s="3"/>
      <c r="N222" s="3"/>
      <c r="O222" s="3"/>
      <c r="P222" s="3"/>
      <c r="Q222" s="3"/>
      <c r="R222" s="5"/>
      <c r="S222" s="3"/>
      <c r="T222" s="3"/>
      <c r="U222" s="3"/>
      <c r="V222" s="3"/>
      <c r="W222" s="3"/>
      <c r="X222" s="3"/>
      <c r="Y222" s="3"/>
      <c r="Z222" s="3"/>
    </row>
    <row r="223" ht="12.75" customHeight="1">
      <c r="A223" s="3"/>
      <c r="B223" s="3"/>
      <c r="C223" s="3"/>
      <c r="D223" s="3"/>
      <c r="E223" s="3"/>
      <c r="F223" s="3"/>
      <c r="G223" s="3"/>
      <c r="H223" s="3"/>
      <c r="I223" s="3"/>
      <c r="J223" s="3"/>
      <c r="K223" s="3"/>
      <c r="L223" s="3"/>
      <c r="M223" s="3"/>
      <c r="N223" s="3"/>
      <c r="O223" s="3"/>
      <c r="P223" s="3"/>
      <c r="Q223" s="3"/>
      <c r="R223" s="5"/>
      <c r="S223" s="3"/>
      <c r="T223" s="3"/>
      <c r="U223" s="3"/>
      <c r="V223" s="3"/>
      <c r="W223" s="3"/>
      <c r="X223" s="3"/>
      <c r="Y223" s="3"/>
      <c r="Z223" s="3"/>
    </row>
    <row r="224" ht="12.75" customHeight="1">
      <c r="A224" s="3"/>
      <c r="B224" s="3"/>
      <c r="C224" s="3"/>
      <c r="D224" s="3"/>
      <c r="E224" s="3"/>
      <c r="F224" s="3"/>
      <c r="G224" s="3"/>
      <c r="H224" s="3"/>
      <c r="I224" s="3"/>
      <c r="J224" s="3"/>
      <c r="K224" s="3"/>
      <c r="L224" s="3"/>
      <c r="M224" s="3"/>
      <c r="N224" s="3"/>
      <c r="O224" s="3"/>
      <c r="P224" s="3"/>
      <c r="Q224" s="3"/>
      <c r="R224" s="5"/>
      <c r="S224" s="3"/>
      <c r="T224" s="3"/>
      <c r="U224" s="3"/>
      <c r="V224" s="3"/>
      <c r="W224" s="3"/>
      <c r="X224" s="3"/>
      <c r="Y224" s="3"/>
      <c r="Z224" s="3"/>
    </row>
    <row r="225" ht="12.75" customHeight="1">
      <c r="A225" s="3"/>
      <c r="B225" s="3"/>
      <c r="C225" s="3"/>
      <c r="D225" s="3"/>
      <c r="E225" s="3"/>
      <c r="F225" s="3"/>
      <c r="G225" s="3"/>
      <c r="H225" s="3"/>
      <c r="I225" s="3"/>
      <c r="J225" s="3"/>
      <c r="K225" s="3"/>
      <c r="L225" s="3"/>
      <c r="M225" s="3"/>
      <c r="N225" s="3"/>
      <c r="O225" s="3"/>
      <c r="P225" s="3"/>
      <c r="Q225" s="3"/>
      <c r="R225" s="5"/>
      <c r="S225" s="3"/>
      <c r="T225" s="3"/>
      <c r="U225" s="3"/>
      <c r="V225" s="3"/>
      <c r="W225" s="3"/>
      <c r="X225" s="3"/>
      <c r="Y225" s="3"/>
      <c r="Z225" s="3"/>
    </row>
    <row r="226" ht="12.75" customHeight="1">
      <c r="A226" s="3"/>
      <c r="B226" s="3"/>
      <c r="C226" s="3"/>
      <c r="D226" s="3"/>
      <c r="E226" s="3"/>
      <c r="F226" s="3"/>
      <c r="G226" s="3"/>
      <c r="H226" s="3"/>
      <c r="I226" s="3"/>
      <c r="J226" s="3"/>
      <c r="K226" s="3"/>
      <c r="L226" s="3"/>
      <c r="M226" s="3"/>
      <c r="N226" s="3"/>
      <c r="O226" s="3"/>
      <c r="P226" s="3"/>
      <c r="Q226" s="3"/>
      <c r="R226" s="5"/>
      <c r="S226" s="3"/>
      <c r="T226" s="3"/>
      <c r="U226" s="3"/>
      <c r="V226" s="3"/>
      <c r="W226" s="3"/>
      <c r="X226" s="3"/>
      <c r="Y226" s="3"/>
      <c r="Z226" s="3"/>
    </row>
    <row r="227" ht="12.75" customHeight="1">
      <c r="A227" s="3"/>
      <c r="B227" s="3"/>
      <c r="C227" s="3"/>
      <c r="D227" s="3"/>
      <c r="E227" s="3"/>
      <c r="F227" s="3"/>
      <c r="G227" s="3"/>
      <c r="H227" s="3"/>
      <c r="I227" s="3"/>
      <c r="J227" s="3"/>
      <c r="K227" s="3"/>
      <c r="L227" s="3"/>
      <c r="M227" s="3"/>
      <c r="N227" s="3"/>
      <c r="O227" s="3"/>
      <c r="P227" s="3"/>
      <c r="Q227" s="3"/>
      <c r="R227" s="5"/>
      <c r="S227" s="3"/>
      <c r="T227" s="3"/>
      <c r="U227" s="3"/>
      <c r="V227" s="3"/>
      <c r="W227" s="3"/>
      <c r="X227" s="3"/>
      <c r="Y227" s="3"/>
      <c r="Z227" s="3"/>
    </row>
    <row r="228" ht="12.75" customHeight="1">
      <c r="A228" s="3"/>
      <c r="B228" s="3"/>
      <c r="C228" s="3"/>
      <c r="D228" s="3"/>
      <c r="E228" s="3"/>
      <c r="F228" s="3"/>
      <c r="G228" s="3"/>
      <c r="H228" s="3"/>
      <c r="I228" s="3"/>
      <c r="J228" s="3"/>
      <c r="K228" s="3"/>
      <c r="L228" s="3"/>
      <c r="M228" s="3"/>
      <c r="N228" s="3"/>
      <c r="O228" s="3"/>
      <c r="P228" s="3"/>
      <c r="Q228" s="3"/>
      <c r="R228" s="5"/>
      <c r="S228" s="3"/>
      <c r="T228" s="3"/>
      <c r="U228" s="3"/>
      <c r="V228" s="3"/>
      <c r="W228" s="3"/>
      <c r="X228" s="3"/>
      <c r="Y228" s="3"/>
      <c r="Z228" s="3"/>
    </row>
    <row r="229" ht="12.75" customHeight="1">
      <c r="A229" s="3"/>
      <c r="B229" s="3"/>
      <c r="C229" s="3"/>
      <c r="D229" s="3"/>
      <c r="E229" s="3"/>
      <c r="F229" s="3"/>
      <c r="G229" s="3"/>
      <c r="H229" s="3"/>
      <c r="I229" s="3"/>
      <c r="J229" s="3"/>
      <c r="K229" s="3"/>
      <c r="L229" s="3"/>
      <c r="M229" s="3"/>
      <c r="N229" s="3"/>
      <c r="O229" s="3"/>
      <c r="P229" s="3"/>
      <c r="Q229" s="3"/>
      <c r="R229" s="5"/>
      <c r="S229" s="3"/>
      <c r="T229" s="3"/>
      <c r="U229" s="3"/>
      <c r="V229" s="3"/>
      <c r="W229" s="3"/>
      <c r="X229" s="3"/>
      <c r="Y229" s="3"/>
      <c r="Z229" s="3"/>
    </row>
    <row r="230" ht="12.75" customHeight="1">
      <c r="A230" s="3"/>
      <c r="B230" s="3"/>
      <c r="C230" s="3"/>
      <c r="D230" s="3"/>
      <c r="E230" s="3"/>
      <c r="F230" s="3"/>
      <c r="G230" s="3"/>
      <c r="H230" s="3"/>
      <c r="I230" s="3"/>
      <c r="J230" s="3"/>
      <c r="K230" s="3"/>
      <c r="L230" s="3"/>
      <c r="M230" s="3"/>
      <c r="N230" s="3"/>
      <c r="O230" s="3"/>
      <c r="P230" s="3"/>
      <c r="Q230" s="3"/>
      <c r="R230" s="5"/>
      <c r="S230" s="3"/>
      <c r="T230" s="3"/>
      <c r="U230" s="3"/>
      <c r="V230" s="3"/>
      <c r="W230" s="3"/>
      <c r="X230" s="3"/>
      <c r="Y230" s="3"/>
      <c r="Z230" s="3"/>
    </row>
    <row r="231" ht="12.75" customHeight="1">
      <c r="A231" s="3"/>
      <c r="B231" s="3"/>
      <c r="C231" s="3"/>
      <c r="D231" s="3"/>
      <c r="E231" s="3"/>
      <c r="F231" s="3"/>
      <c r="G231" s="3"/>
      <c r="H231" s="3"/>
      <c r="I231" s="3"/>
      <c r="J231" s="3"/>
      <c r="K231" s="3"/>
      <c r="L231" s="3"/>
      <c r="M231" s="3"/>
      <c r="N231" s="3"/>
      <c r="O231" s="3"/>
      <c r="P231" s="3"/>
      <c r="Q231" s="3"/>
      <c r="R231" s="5"/>
      <c r="S231" s="3"/>
      <c r="T231" s="3"/>
      <c r="U231" s="3"/>
      <c r="V231" s="3"/>
      <c r="W231" s="3"/>
      <c r="X231" s="3"/>
      <c r="Y231" s="3"/>
      <c r="Z231" s="3"/>
    </row>
    <row r="232" ht="12.75" customHeight="1">
      <c r="A232" s="3"/>
      <c r="B232" s="3"/>
      <c r="C232" s="3"/>
      <c r="D232" s="3"/>
      <c r="E232" s="3"/>
      <c r="F232" s="3"/>
      <c r="G232" s="3"/>
      <c r="H232" s="3"/>
      <c r="I232" s="3"/>
      <c r="J232" s="3"/>
      <c r="K232" s="3"/>
      <c r="L232" s="3"/>
      <c r="M232" s="3"/>
      <c r="N232" s="3"/>
      <c r="O232" s="3"/>
      <c r="P232" s="3"/>
      <c r="Q232" s="3"/>
      <c r="R232" s="5"/>
      <c r="S232" s="3"/>
      <c r="T232" s="3"/>
      <c r="U232" s="3"/>
      <c r="V232" s="3"/>
      <c r="W232" s="3"/>
      <c r="X232" s="3"/>
      <c r="Y232" s="3"/>
      <c r="Z232" s="3"/>
    </row>
    <row r="233" ht="12.75" customHeight="1">
      <c r="A233" s="3"/>
      <c r="B233" s="3"/>
      <c r="C233" s="3"/>
      <c r="D233" s="3"/>
      <c r="E233" s="3"/>
      <c r="F233" s="3"/>
      <c r="G233" s="3"/>
      <c r="H233" s="3"/>
      <c r="I233" s="3"/>
      <c r="J233" s="3"/>
      <c r="K233" s="3"/>
      <c r="L233" s="3"/>
      <c r="M233" s="3"/>
      <c r="N233" s="3"/>
      <c r="O233" s="3"/>
      <c r="P233" s="3"/>
      <c r="Q233" s="3"/>
      <c r="R233" s="5"/>
      <c r="S233" s="3"/>
      <c r="T233" s="3"/>
      <c r="U233" s="3"/>
      <c r="V233" s="3"/>
      <c r="W233" s="3"/>
      <c r="X233" s="3"/>
      <c r="Y233" s="3"/>
      <c r="Z233" s="3"/>
    </row>
    <row r="234" ht="12.75" customHeight="1">
      <c r="A234" s="3"/>
      <c r="B234" s="3"/>
      <c r="C234" s="3"/>
      <c r="D234" s="3"/>
      <c r="E234" s="3"/>
      <c r="F234" s="3"/>
      <c r="G234" s="3"/>
      <c r="H234" s="3"/>
      <c r="I234" s="3"/>
      <c r="J234" s="3"/>
      <c r="K234" s="3"/>
      <c r="L234" s="3"/>
      <c r="M234" s="3"/>
      <c r="N234" s="3"/>
      <c r="O234" s="3"/>
      <c r="P234" s="3"/>
      <c r="Q234" s="3"/>
      <c r="R234" s="5"/>
      <c r="S234" s="3"/>
      <c r="T234" s="3"/>
      <c r="U234" s="3"/>
      <c r="V234" s="3"/>
      <c r="W234" s="3"/>
      <c r="X234" s="3"/>
      <c r="Y234" s="3"/>
      <c r="Z234" s="3"/>
    </row>
    <row r="235" ht="12.75" customHeight="1">
      <c r="A235" s="3"/>
      <c r="B235" s="3"/>
      <c r="C235" s="3"/>
      <c r="D235" s="3"/>
      <c r="E235" s="3"/>
      <c r="F235" s="3"/>
      <c r="G235" s="3"/>
      <c r="H235" s="3"/>
      <c r="I235" s="3"/>
      <c r="J235" s="3"/>
      <c r="K235" s="3"/>
      <c r="L235" s="3"/>
      <c r="M235" s="3"/>
      <c r="N235" s="3"/>
      <c r="O235" s="3"/>
      <c r="P235" s="3"/>
      <c r="Q235" s="3"/>
      <c r="R235" s="5"/>
      <c r="S235" s="3"/>
      <c r="T235" s="3"/>
      <c r="U235" s="3"/>
      <c r="V235" s="3"/>
      <c r="W235" s="3"/>
      <c r="X235" s="3"/>
      <c r="Y235" s="3"/>
      <c r="Z235" s="3"/>
    </row>
    <row r="236" ht="12.75" customHeight="1">
      <c r="A236" s="3"/>
      <c r="B236" s="3"/>
      <c r="C236" s="3"/>
      <c r="D236" s="3"/>
      <c r="E236" s="3"/>
      <c r="F236" s="3"/>
      <c r="G236" s="3"/>
      <c r="H236" s="3"/>
      <c r="I236" s="3"/>
      <c r="J236" s="3"/>
      <c r="K236" s="3"/>
      <c r="L236" s="3"/>
      <c r="M236" s="3"/>
      <c r="N236" s="3"/>
      <c r="O236" s="3"/>
      <c r="P236" s="3"/>
      <c r="Q236" s="3"/>
      <c r="R236" s="5"/>
      <c r="S236" s="3"/>
      <c r="T236" s="3"/>
      <c r="U236" s="3"/>
      <c r="V236" s="3"/>
      <c r="W236" s="3"/>
      <c r="X236" s="3"/>
      <c r="Y236" s="3"/>
      <c r="Z236" s="3"/>
    </row>
    <row r="237" ht="12.75" customHeight="1">
      <c r="A237" s="3"/>
      <c r="B237" s="3"/>
      <c r="C237" s="3"/>
      <c r="D237" s="3"/>
      <c r="E237" s="3"/>
      <c r="F237" s="3"/>
      <c r="G237" s="3"/>
      <c r="H237" s="3"/>
      <c r="I237" s="3"/>
      <c r="J237" s="3"/>
      <c r="K237" s="3"/>
      <c r="L237" s="3"/>
      <c r="M237" s="3"/>
      <c r="N237" s="3"/>
      <c r="O237" s="3"/>
      <c r="P237" s="3"/>
      <c r="Q237" s="3"/>
      <c r="R237" s="5"/>
      <c r="S237" s="3"/>
      <c r="T237" s="3"/>
      <c r="U237" s="3"/>
      <c r="V237" s="3"/>
      <c r="W237" s="3"/>
      <c r="X237" s="3"/>
      <c r="Y237" s="3"/>
      <c r="Z237" s="3"/>
    </row>
    <row r="238" ht="12.75" customHeight="1">
      <c r="A238" s="3"/>
      <c r="B238" s="3"/>
      <c r="C238" s="3"/>
      <c r="D238" s="3"/>
      <c r="E238" s="3"/>
      <c r="F238" s="3"/>
      <c r="G238" s="3"/>
      <c r="H238" s="3"/>
      <c r="I238" s="3"/>
      <c r="J238" s="3"/>
      <c r="K238" s="3"/>
      <c r="L238" s="3"/>
      <c r="M238" s="3"/>
      <c r="N238" s="3"/>
      <c r="O238" s="3"/>
      <c r="P238" s="3"/>
      <c r="Q238" s="3"/>
      <c r="R238" s="5"/>
      <c r="S238" s="3"/>
      <c r="T238" s="3"/>
      <c r="U238" s="3"/>
      <c r="V238" s="3"/>
      <c r="W238" s="3"/>
      <c r="X238" s="3"/>
      <c r="Y238" s="3"/>
      <c r="Z238" s="3"/>
    </row>
    <row r="239" ht="12.75" customHeight="1">
      <c r="A239" s="3"/>
      <c r="B239" s="3"/>
      <c r="C239" s="3"/>
      <c r="D239" s="3"/>
      <c r="E239" s="3"/>
      <c r="F239" s="3"/>
      <c r="G239" s="3"/>
      <c r="H239" s="3"/>
      <c r="I239" s="3"/>
      <c r="J239" s="3"/>
      <c r="K239" s="3"/>
      <c r="L239" s="3"/>
      <c r="M239" s="3"/>
      <c r="N239" s="3"/>
      <c r="O239" s="3"/>
      <c r="P239" s="3"/>
      <c r="Q239" s="3"/>
      <c r="R239" s="5"/>
      <c r="S239" s="3"/>
      <c r="T239" s="3"/>
      <c r="U239" s="3"/>
      <c r="V239" s="3"/>
      <c r="W239" s="3"/>
      <c r="X239" s="3"/>
      <c r="Y239" s="3"/>
      <c r="Z239" s="3"/>
    </row>
    <row r="240" ht="12.75" customHeight="1">
      <c r="A240" s="3"/>
      <c r="B240" s="3"/>
      <c r="C240" s="3"/>
      <c r="D240" s="3"/>
      <c r="E240" s="3"/>
      <c r="F240" s="3"/>
      <c r="G240" s="3"/>
      <c r="H240" s="3"/>
      <c r="I240" s="3"/>
      <c r="J240" s="3"/>
      <c r="K240" s="3"/>
      <c r="L240" s="3"/>
      <c r="M240" s="3"/>
      <c r="N240" s="3"/>
      <c r="O240" s="3"/>
      <c r="P240" s="3"/>
      <c r="Q240" s="3"/>
      <c r="R240" s="5"/>
      <c r="S240" s="3"/>
      <c r="T240" s="3"/>
      <c r="U240" s="3"/>
      <c r="V240" s="3"/>
      <c r="W240" s="3"/>
      <c r="X240" s="3"/>
      <c r="Y240" s="3"/>
      <c r="Z240" s="3"/>
    </row>
    <row r="241" ht="12.75" customHeight="1">
      <c r="A241" s="3"/>
      <c r="B241" s="3"/>
      <c r="C241" s="3"/>
      <c r="D241" s="3"/>
      <c r="E241" s="3"/>
      <c r="F241" s="3"/>
      <c r="G241" s="3"/>
      <c r="H241" s="3"/>
      <c r="I241" s="3"/>
      <c r="J241" s="3"/>
      <c r="K241" s="3"/>
      <c r="L241" s="3"/>
      <c r="M241" s="3"/>
      <c r="N241" s="3"/>
      <c r="O241" s="3"/>
      <c r="P241" s="3"/>
      <c r="Q241" s="3"/>
      <c r="R241" s="5"/>
      <c r="S241" s="3"/>
      <c r="T241" s="3"/>
      <c r="U241" s="3"/>
      <c r="V241" s="3"/>
      <c r="W241" s="3"/>
      <c r="X241" s="3"/>
      <c r="Y241" s="3"/>
      <c r="Z241" s="3"/>
    </row>
    <row r="242" ht="12.75" customHeight="1">
      <c r="A242" s="3"/>
      <c r="B242" s="3"/>
      <c r="C242" s="3"/>
      <c r="D242" s="3"/>
      <c r="E242" s="3"/>
      <c r="F242" s="3"/>
      <c r="G242" s="3"/>
      <c r="H242" s="3"/>
      <c r="I242" s="3"/>
      <c r="J242" s="3"/>
      <c r="K242" s="3"/>
      <c r="L242" s="3"/>
      <c r="M242" s="3"/>
      <c r="N242" s="3"/>
      <c r="O242" s="3"/>
      <c r="P242" s="3"/>
      <c r="Q242" s="3"/>
      <c r="R242" s="5"/>
      <c r="S242" s="3"/>
      <c r="T242" s="3"/>
      <c r="U242" s="3"/>
      <c r="V242" s="3"/>
      <c r="W242" s="3"/>
      <c r="X242" s="3"/>
      <c r="Y242" s="3"/>
      <c r="Z242" s="3"/>
    </row>
    <row r="243" ht="12.75" customHeight="1">
      <c r="A243" s="3"/>
      <c r="B243" s="3"/>
      <c r="C243" s="3"/>
      <c r="D243" s="3"/>
      <c r="E243" s="3"/>
      <c r="F243" s="3"/>
      <c r="G243" s="3"/>
      <c r="H243" s="3"/>
      <c r="I243" s="3"/>
      <c r="J243" s="3"/>
      <c r="K243" s="3"/>
      <c r="L243" s="3"/>
      <c r="M243" s="3"/>
      <c r="N243" s="3"/>
      <c r="O243" s="3"/>
      <c r="P243" s="3"/>
      <c r="Q243" s="3"/>
      <c r="R243" s="5"/>
      <c r="S243" s="3"/>
      <c r="T243" s="3"/>
      <c r="U243" s="3"/>
      <c r="V243" s="3"/>
      <c r="W243" s="3"/>
      <c r="X243" s="3"/>
      <c r="Y243" s="3"/>
      <c r="Z243" s="3"/>
    </row>
    <row r="244" ht="12.75" customHeight="1">
      <c r="A244" s="3"/>
      <c r="B244" s="3"/>
      <c r="C244" s="3"/>
      <c r="D244" s="3"/>
      <c r="E244" s="3"/>
      <c r="F244" s="3"/>
      <c r="G244" s="3"/>
      <c r="H244" s="3"/>
      <c r="I244" s="3"/>
      <c r="J244" s="3"/>
      <c r="K244" s="3"/>
      <c r="L244" s="3"/>
      <c r="M244" s="3"/>
      <c r="N244" s="3"/>
      <c r="O244" s="3"/>
      <c r="P244" s="3"/>
      <c r="Q244" s="3"/>
      <c r="R244" s="5"/>
      <c r="S244" s="3"/>
      <c r="T244" s="3"/>
      <c r="U244" s="3"/>
      <c r="V244" s="3"/>
      <c r="W244" s="3"/>
      <c r="X244" s="3"/>
      <c r="Y244" s="3"/>
      <c r="Z244" s="3"/>
    </row>
    <row r="245" ht="12.75" customHeight="1">
      <c r="A245" s="3"/>
      <c r="B245" s="3"/>
      <c r="C245" s="3"/>
      <c r="D245" s="3"/>
      <c r="E245" s="3"/>
      <c r="F245" s="3"/>
      <c r="G245" s="3"/>
      <c r="H245" s="3"/>
      <c r="I245" s="3"/>
      <c r="J245" s="3"/>
      <c r="K245" s="3"/>
      <c r="L245" s="3"/>
      <c r="M245" s="3"/>
      <c r="N245" s="3"/>
      <c r="O245" s="3"/>
      <c r="P245" s="3"/>
      <c r="Q245" s="3"/>
      <c r="R245" s="5"/>
      <c r="S245" s="3"/>
      <c r="T245" s="3"/>
      <c r="U245" s="3"/>
      <c r="V245" s="3"/>
      <c r="W245" s="3"/>
      <c r="X245" s="3"/>
      <c r="Y245" s="3"/>
      <c r="Z245" s="3"/>
    </row>
    <row r="246" ht="12.75" customHeight="1">
      <c r="A246" s="3"/>
      <c r="B246" s="3"/>
      <c r="C246" s="3"/>
      <c r="D246" s="3"/>
      <c r="E246" s="3"/>
      <c r="F246" s="3"/>
      <c r="G246" s="3"/>
      <c r="H246" s="3"/>
      <c r="I246" s="3"/>
      <c r="J246" s="3"/>
      <c r="K246" s="3"/>
      <c r="L246" s="3"/>
      <c r="M246" s="3"/>
      <c r="N246" s="3"/>
      <c r="O246" s="3"/>
      <c r="P246" s="3"/>
      <c r="Q246" s="3"/>
      <c r="R246" s="5"/>
      <c r="S246" s="3"/>
      <c r="T246" s="3"/>
      <c r="U246" s="3"/>
      <c r="V246" s="3"/>
      <c r="W246" s="3"/>
      <c r="X246" s="3"/>
      <c r="Y246" s="3"/>
      <c r="Z246" s="3"/>
    </row>
    <row r="247" ht="12.75" customHeight="1">
      <c r="A247" s="3"/>
      <c r="B247" s="3"/>
      <c r="C247" s="3"/>
      <c r="D247" s="3"/>
      <c r="E247" s="3"/>
      <c r="F247" s="3"/>
      <c r="G247" s="3"/>
      <c r="H247" s="3"/>
      <c r="I247" s="3"/>
      <c r="J247" s="3"/>
      <c r="K247" s="3"/>
      <c r="L247" s="3"/>
      <c r="M247" s="3"/>
      <c r="N247" s="3"/>
      <c r="O247" s="3"/>
      <c r="P247" s="3"/>
      <c r="Q247" s="3"/>
      <c r="R247" s="5"/>
      <c r="S247" s="3"/>
      <c r="T247" s="3"/>
      <c r="U247" s="3"/>
      <c r="V247" s="3"/>
      <c r="W247" s="3"/>
      <c r="X247" s="3"/>
      <c r="Y247" s="3"/>
      <c r="Z247" s="3"/>
    </row>
    <row r="248" ht="12.75" customHeight="1">
      <c r="A248" s="3"/>
      <c r="B248" s="3"/>
      <c r="C248" s="3"/>
      <c r="D248" s="3"/>
      <c r="E248" s="3"/>
      <c r="F248" s="3"/>
      <c r="G248" s="3"/>
      <c r="H248" s="3"/>
      <c r="I248" s="3"/>
      <c r="J248" s="3"/>
      <c r="K248" s="3"/>
      <c r="L248" s="3"/>
      <c r="M248" s="3"/>
      <c r="N248" s="3"/>
      <c r="O248" s="3"/>
      <c r="P248" s="3"/>
      <c r="Q248" s="3"/>
      <c r="R248" s="5"/>
      <c r="S248" s="3"/>
      <c r="T248" s="3"/>
      <c r="U248" s="3"/>
      <c r="V248" s="3"/>
      <c r="W248" s="3"/>
      <c r="X248" s="3"/>
      <c r="Y248" s="3"/>
      <c r="Z248" s="3"/>
    </row>
    <row r="249" ht="12.75" customHeight="1">
      <c r="A249" s="3"/>
      <c r="B249" s="3"/>
      <c r="C249" s="3"/>
      <c r="D249" s="3"/>
      <c r="E249" s="3"/>
      <c r="F249" s="3"/>
      <c r="G249" s="3"/>
      <c r="H249" s="3"/>
      <c r="I249" s="3"/>
      <c r="J249" s="3"/>
      <c r="K249" s="3"/>
      <c r="L249" s="3"/>
      <c r="M249" s="3"/>
      <c r="N249" s="3"/>
      <c r="O249" s="3"/>
      <c r="P249" s="3"/>
      <c r="Q249" s="3"/>
      <c r="R249" s="5"/>
      <c r="S249" s="3"/>
      <c r="T249" s="3"/>
      <c r="U249" s="3"/>
      <c r="V249" s="3"/>
      <c r="W249" s="3"/>
      <c r="X249" s="3"/>
      <c r="Y249" s="3"/>
      <c r="Z249" s="3"/>
    </row>
    <row r="250" ht="12.75" customHeight="1">
      <c r="A250" s="3"/>
      <c r="B250" s="3"/>
      <c r="C250" s="3"/>
      <c r="D250" s="3"/>
      <c r="E250" s="3"/>
      <c r="F250" s="3"/>
      <c r="G250" s="3"/>
      <c r="H250" s="3"/>
      <c r="I250" s="3"/>
      <c r="J250" s="3"/>
      <c r="K250" s="3"/>
      <c r="L250" s="3"/>
      <c r="M250" s="3"/>
      <c r="N250" s="3"/>
      <c r="O250" s="3"/>
      <c r="P250" s="3"/>
      <c r="Q250" s="3"/>
      <c r="R250" s="5"/>
      <c r="S250" s="3"/>
      <c r="T250" s="3"/>
      <c r="U250" s="3"/>
      <c r="V250" s="3"/>
      <c r="W250" s="3"/>
      <c r="X250" s="3"/>
      <c r="Y250" s="3"/>
      <c r="Z250" s="3"/>
    </row>
    <row r="251" ht="12.75" customHeight="1">
      <c r="A251" s="3"/>
      <c r="B251" s="3"/>
      <c r="C251" s="3"/>
      <c r="D251" s="3"/>
      <c r="E251" s="3"/>
      <c r="F251" s="3"/>
      <c r="G251" s="3"/>
      <c r="H251" s="3"/>
      <c r="I251" s="3"/>
      <c r="J251" s="3"/>
      <c r="K251" s="3"/>
      <c r="L251" s="3"/>
      <c r="M251" s="3"/>
      <c r="N251" s="3"/>
      <c r="O251" s="3"/>
      <c r="P251" s="3"/>
      <c r="Q251" s="3"/>
      <c r="R251" s="5"/>
      <c r="S251" s="3"/>
      <c r="T251" s="3"/>
      <c r="U251" s="3"/>
      <c r="V251" s="3"/>
      <c r="W251" s="3"/>
      <c r="X251" s="3"/>
      <c r="Y251" s="3"/>
      <c r="Z251" s="3"/>
    </row>
    <row r="252" ht="12.75" customHeight="1">
      <c r="A252" s="3"/>
      <c r="B252" s="3"/>
      <c r="C252" s="3"/>
      <c r="D252" s="3"/>
      <c r="E252" s="3"/>
      <c r="F252" s="3"/>
      <c r="G252" s="3"/>
      <c r="H252" s="3"/>
      <c r="I252" s="3"/>
      <c r="J252" s="3"/>
      <c r="K252" s="3"/>
      <c r="L252" s="3"/>
      <c r="M252" s="3"/>
      <c r="N252" s="3"/>
      <c r="O252" s="3"/>
      <c r="P252" s="3"/>
      <c r="Q252" s="3"/>
      <c r="R252" s="5"/>
      <c r="S252" s="3"/>
      <c r="T252" s="3"/>
      <c r="U252" s="3"/>
      <c r="V252" s="3"/>
      <c r="W252" s="3"/>
      <c r="X252" s="3"/>
      <c r="Y252" s="3"/>
      <c r="Z252" s="3"/>
    </row>
    <row r="253" ht="12.75" customHeight="1">
      <c r="A253" s="3"/>
      <c r="B253" s="3"/>
      <c r="C253" s="3"/>
      <c r="D253" s="3"/>
      <c r="E253" s="3"/>
      <c r="F253" s="3"/>
      <c r="G253" s="3"/>
      <c r="H253" s="3"/>
      <c r="I253" s="3"/>
      <c r="J253" s="3"/>
      <c r="K253" s="3"/>
      <c r="L253" s="3"/>
      <c r="M253" s="3"/>
      <c r="N253" s="3"/>
      <c r="O253" s="3"/>
      <c r="P253" s="3"/>
      <c r="Q253" s="3"/>
      <c r="R253" s="5"/>
      <c r="S253" s="3"/>
      <c r="T253" s="3"/>
      <c r="U253" s="3"/>
      <c r="V253" s="3"/>
      <c r="W253" s="3"/>
      <c r="X253" s="3"/>
      <c r="Y253" s="3"/>
      <c r="Z253" s="3"/>
    </row>
    <row r="254" ht="12.75" customHeight="1">
      <c r="A254" s="3"/>
      <c r="B254" s="3"/>
      <c r="C254" s="3"/>
      <c r="D254" s="3"/>
      <c r="E254" s="3"/>
      <c r="F254" s="3"/>
      <c r="G254" s="3"/>
      <c r="H254" s="3"/>
      <c r="I254" s="3"/>
      <c r="J254" s="3"/>
      <c r="K254" s="3"/>
      <c r="L254" s="3"/>
      <c r="M254" s="3"/>
      <c r="N254" s="3"/>
      <c r="O254" s="3"/>
      <c r="P254" s="3"/>
      <c r="Q254" s="3"/>
      <c r="R254" s="5"/>
      <c r="S254" s="3"/>
      <c r="T254" s="3"/>
      <c r="U254" s="3"/>
      <c r="V254" s="3"/>
      <c r="W254" s="3"/>
      <c r="X254" s="3"/>
      <c r="Y254" s="3"/>
      <c r="Z254" s="3"/>
    </row>
    <row r="255" ht="12.75" customHeight="1">
      <c r="A255" s="3"/>
      <c r="B255" s="3"/>
      <c r="C255" s="3"/>
      <c r="D255" s="3"/>
      <c r="E255" s="3"/>
      <c r="F255" s="3"/>
      <c r="G255" s="3"/>
      <c r="H255" s="3"/>
      <c r="I255" s="3"/>
      <c r="J255" s="3"/>
      <c r="K255" s="3"/>
      <c r="L255" s="3"/>
      <c r="M255" s="3"/>
      <c r="N255" s="3"/>
      <c r="O255" s="3"/>
      <c r="P255" s="3"/>
      <c r="Q255" s="3"/>
      <c r="R255" s="5"/>
      <c r="S255" s="3"/>
      <c r="T255" s="3"/>
      <c r="U255" s="3"/>
      <c r="V255" s="3"/>
      <c r="W255" s="3"/>
      <c r="X255" s="3"/>
      <c r="Y255" s="3"/>
      <c r="Z255" s="3"/>
    </row>
    <row r="256" ht="12.75" customHeight="1">
      <c r="A256" s="3"/>
      <c r="B256" s="3"/>
      <c r="C256" s="3"/>
      <c r="D256" s="3"/>
      <c r="E256" s="3"/>
      <c r="F256" s="3"/>
      <c r="G256" s="3"/>
      <c r="H256" s="3"/>
      <c r="I256" s="3"/>
      <c r="J256" s="3"/>
      <c r="K256" s="3"/>
      <c r="L256" s="3"/>
      <c r="M256" s="3"/>
      <c r="N256" s="3"/>
      <c r="O256" s="3"/>
      <c r="P256" s="3"/>
      <c r="Q256" s="3"/>
      <c r="R256" s="5"/>
      <c r="S256" s="3"/>
      <c r="T256" s="3"/>
      <c r="U256" s="3"/>
      <c r="V256" s="3"/>
      <c r="W256" s="3"/>
      <c r="X256" s="3"/>
      <c r="Y256" s="3"/>
      <c r="Z256" s="3"/>
    </row>
    <row r="257" ht="12.75" customHeight="1">
      <c r="A257" s="3"/>
      <c r="B257" s="3"/>
      <c r="C257" s="3"/>
      <c r="D257" s="3"/>
      <c r="E257" s="3"/>
      <c r="F257" s="3"/>
      <c r="G257" s="3"/>
      <c r="H257" s="3"/>
      <c r="I257" s="3"/>
      <c r="J257" s="3"/>
      <c r="K257" s="3"/>
      <c r="L257" s="3"/>
      <c r="M257" s="3"/>
      <c r="N257" s="3"/>
      <c r="O257" s="3"/>
      <c r="P257" s="3"/>
      <c r="Q257" s="3"/>
      <c r="R257" s="5"/>
      <c r="S257" s="3"/>
      <c r="T257" s="3"/>
      <c r="U257" s="3"/>
      <c r="V257" s="3"/>
      <c r="W257" s="3"/>
      <c r="X257" s="3"/>
      <c r="Y257" s="3"/>
      <c r="Z257" s="3"/>
    </row>
    <row r="258" ht="12.75" customHeight="1">
      <c r="A258" s="3"/>
      <c r="B258" s="3"/>
      <c r="C258" s="3"/>
      <c r="D258" s="3"/>
      <c r="E258" s="3"/>
      <c r="F258" s="3"/>
      <c r="G258" s="3"/>
      <c r="H258" s="3"/>
      <c r="I258" s="3"/>
      <c r="J258" s="3"/>
      <c r="K258" s="3"/>
      <c r="L258" s="3"/>
      <c r="M258" s="3"/>
      <c r="N258" s="3"/>
      <c r="O258" s="3"/>
      <c r="P258" s="3"/>
      <c r="Q258" s="3"/>
      <c r="R258" s="5"/>
      <c r="S258" s="3"/>
      <c r="T258" s="3"/>
      <c r="U258" s="3"/>
      <c r="V258" s="3"/>
      <c r="W258" s="3"/>
      <c r="X258" s="3"/>
      <c r="Y258" s="3"/>
      <c r="Z258" s="3"/>
    </row>
    <row r="259" ht="12.75" customHeight="1">
      <c r="A259" s="3"/>
      <c r="B259" s="3"/>
      <c r="C259" s="3"/>
      <c r="D259" s="3"/>
      <c r="E259" s="3"/>
      <c r="F259" s="3"/>
      <c r="G259" s="3"/>
      <c r="H259" s="3"/>
      <c r="I259" s="3"/>
      <c r="J259" s="3"/>
      <c r="K259" s="3"/>
      <c r="L259" s="3"/>
      <c r="M259" s="3"/>
      <c r="N259" s="3"/>
      <c r="O259" s="3"/>
      <c r="P259" s="3"/>
      <c r="Q259" s="3"/>
      <c r="R259" s="5"/>
      <c r="S259" s="3"/>
      <c r="T259" s="3"/>
      <c r="U259" s="3"/>
      <c r="V259" s="3"/>
      <c r="W259" s="3"/>
      <c r="X259" s="3"/>
      <c r="Y259" s="3"/>
      <c r="Z259" s="3"/>
    </row>
    <row r="260" ht="12.75" customHeight="1">
      <c r="A260" s="3"/>
      <c r="B260" s="3"/>
      <c r="C260" s="3"/>
      <c r="D260" s="3"/>
      <c r="E260" s="3"/>
      <c r="F260" s="3"/>
      <c r="G260" s="3"/>
      <c r="H260" s="3"/>
      <c r="I260" s="3"/>
      <c r="J260" s="3"/>
      <c r="K260" s="3"/>
      <c r="L260" s="3"/>
      <c r="M260" s="3"/>
      <c r="N260" s="3"/>
      <c r="O260" s="3"/>
      <c r="P260" s="3"/>
      <c r="Q260" s="3"/>
      <c r="R260" s="5"/>
      <c r="S260" s="3"/>
      <c r="T260" s="3"/>
      <c r="U260" s="3"/>
      <c r="V260" s="3"/>
      <c r="W260" s="3"/>
      <c r="X260" s="3"/>
      <c r="Y260" s="3"/>
      <c r="Z260" s="3"/>
    </row>
    <row r="261" ht="12.75" customHeight="1">
      <c r="A261" s="3"/>
      <c r="B261" s="3"/>
      <c r="C261" s="3"/>
      <c r="D261" s="3"/>
      <c r="E261" s="3"/>
      <c r="F261" s="3"/>
      <c r="G261" s="3"/>
      <c r="H261" s="3"/>
      <c r="I261" s="3"/>
      <c r="J261" s="3"/>
      <c r="K261" s="3"/>
      <c r="L261" s="3"/>
      <c r="M261" s="3"/>
      <c r="N261" s="3"/>
      <c r="O261" s="3"/>
      <c r="P261" s="3"/>
      <c r="Q261" s="3"/>
      <c r="R261" s="5"/>
      <c r="S261" s="3"/>
      <c r="T261" s="3"/>
      <c r="U261" s="3"/>
      <c r="V261" s="3"/>
      <c r="W261" s="3"/>
      <c r="X261" s="3"/>
      <c r="Y261" s="3"/>
      <c r="Z261" s="3"/>
    </row>
    <row r="262" ht="12.75" customHeight="1">
      <c r="A262" s="3"/>
      <c r="B262" s="3"/>
      <c r="C262" s="3"/>
      <c r="D262" s="3"/>
      <c r="E262" s="3"/>
      <c r="F262" s="3"/>
      <c r="G262" s="3"/>
      <c r="H262" s="3"/>
      <c r="I262" s="3"/>
      <c r="J262" s="3"/>
      <c r="K262" s="3"/>
      <c r="L262" s="3"/>
      <c r="M262" s="3"/>
      <c r="N262" s="3"/>
      <c r="O262" s="3"/>
      <c r="P262" s="3"/>
      <c r="Q262" s="3"/>
      <c r="R262" s="5"/>
      <c r="S262" s="3"/>
      <c r="T262" s="3"/>
      <c r="U262" s="3"/>
      <c r="V262" s="3"/>
      <c r="W262" s="3"/>
      <c r="X262" s="3"/>
      <c r="Y262" s="3"/>
      <c r="Z262" s="3"/>
    </row>
    <row r="263" ht="12.75" customHeight="1">
      <c r="A263" s="3"/>
      <c r="B263" s="3"/>
      <c r="C263" s="3"/>
      <c r="D263" s="3"/>
      <c r="E263" s="3"/>
      <c r="F263" s="3"/>
      <c r="G263" s="3"/>
      <c r="H263" s="3"/>
      <c r="I263" s="3"/>
      <c r="J263" s="3"/>
      <c r="K263" s="3"/>
      <c r="L263" s="3"/>
      <c r="M263" s="3"/>
      <c r="N263" s="3"/>
      <c r="O263" s="3"/>
      <c r="P263" s="3"/>
      <c r="Q263" s="3"/>
      <c r="R263" s="5"/>
      <c r="S263" s="3"/>
      <c r="T263" s="3"/>
      <c r="U263" s="3"/>
      <c r="V263" s="3"/>
      <c r="W263" s="3"/>
      <c r="X263" s="3"/>
      <c r="Y263" s="3"/>
      <c r="Z263" s="3"/>
    </row>
    <row r="264" ht="12.75" customHeight="1">
      <c r="A264" s="3"/>
      <c r="B264" s="3"/>
      <c r="C264" s="3"/>
      <c r="D264" s="3"/>
      <c r="E264" s="3"/>
      <c r="F264" s="3"/>
      <c r="G264" s="3"/>
      <c r="H264" s="3"/>
      <c r="I264" s="3"/>
      <c r="J264" s="3"/>
      <c r="K264" s="3"/>
      <c r="L264" s="3"/>
      <c r="M264" s="3"/>
      <c r="N264" s="3"/>
      <c r="O264" s="3"/>
      <c r="P264" s="3"/>
      <c r="Q264" s="3"/>
      <c r="R264" s="5"/>
      <c r="S264" s="3"/>
      <c r="T264" s="3"/>
      <c r="U264" s="3"/>
      <c r="V264" s="3"/>
      <c r="W264" s="3"/>
      <c r="X264" s="3"/>
      <c r="Y264" s="3"/>
      <c r="Z264" s="3"/>
    </row>
    <row r="265" ht="12.75" customHeight="1">
      <c r="A265" s="3"/>
      <c r="B265" s="3"/>
      <c r="C265" s="3"/>
      <c r="D265" s="3"/>
      <c r="E265" s="3"/>
      <c r="F265" s="3"/>
      <c r="G265" s="3"/>
      <c r="H265" s="3"/>
      <c r="I265" s="3"/>
      <c r="J265" s="3"/>
      <c r="K265" s="3"/>
      <c r="L265" s="3"/>
      <c r="M265" s="3"/>
      <c r="N265" s="3"/>
      <c r="O265" s="3"/>
      <c r="P265" s="3"/>
      <c r="Q265" s="3"/>
      <c r="R265" s="5"/>
      <c r="S265" s="3"/>
      <c r="T265" s="3"/>
      <c r="U265" s="3"/>
      <c r="V265" s="3"/>
      <c r="W265" s="3"/>
      <c r="X265" s="3"/>
      <c r="Y265" s="3"/>
      <c r="Z265" s="3"/>
    </row>
    <row r="266" ht="12.75" customHeight="1">
      <c r="A266" s="3"/>
      <c r="B266" s="3"/>
      <c r="C266" s="3"/>
      <c r="D266" s="3"/>
      <c r="E266" s="3"/>
      <c r="F266" s="3"/>
      <c r="G266" s="3"/>
      <c r="H266" s="3"/>
      <c r="I266" s="3"/>
      <c r="J266" s="3"/>
      <c r="K266" s="3"/>
      <c r="L266" s="3"/>
      <c r="M266" s="3"/>
      <c r="N266" s="3"/>
      <c r="O266" s="3"/>
      <c r="P266" s="3"/>
      <c r="Q266" s="3"/>
      <c r="R266" s="5"/>
      <c r="S266" s="3"/>
      <c r="T266" s="3"/>
      <c r="U266" s="3"/>
      <c r="V266" s="3"/>
      <c r="W266" s="3"/>
      <c r="X266" s="3"/>
      <c r="Y266" s="3"/>
      <c r="Z266" s="3"/>
    </row>
    <row r="267" ht="12.75" customHeight="1">
      <c r="A267" s="3"/>
      <c r="B267" s="3"/>
      <c r="C267" s="3"/>
      <c r="D267" s="3"/>
      <c r="E267" s="3"/>
      <c r="F267" s="3"/>
      <c r="G267" s="3"/>
      <c r="H267" s="3"/>
      <c r="I267" s="3"/>
      <c r="J267" s="3"/>
      <c r="K267" s="3"/>
      <c r="L267" s="3"/>
      <c r="M267" s="3"/>
      <c r="N267" s="3"/>
      <c r="O267" s="3"/>
      <c r="P267" s="3"/>
      <c r="Q267" s="3"/>
      <c r="R267" s="5"/>
      <c r="S267" s="3"/>
      <c r="T267" s="3"/>
      <c r="U267" s="3"/>
      <c r="V267" s="3"/>
      <c r="W267" s="3"/>
      <c r="X267" s="3"/>
      <c r="Y267" s="3"/>
      <c r="Z267" s="3"/>
    </row>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row r="1007" ht="15.75" customHeight="1"/>
  </sheetData>
  <mergeCells count="3">
    <mergeCell ref="B2:E2"/>
    <mergeCell ref="B3:E3"/>
    <mergeCell ref="B4:E4"/>
  </mergeCells>
  <dataValidations>
    <dataValidation type="list" allowBlank="1" showErrorMessage="1" sqref="G2:G3 J2:J3 M2:M3 G9 J9 M9 F12:F67 I12:I67 L12:L67 G68:G193 J68:J193 M68:M193">
      <formula1>$S$2:$S$5</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pane ySplit="10.0" topLeftCell="A11" activePane="bottomLeft" state="frozen"/>
      <selection activeCell="B12" sqref="B12" pane="bottomLeft"/>
    </sheetView>
  </sheetViews>
  <sheetFormatPr customHeight="1" defaultColWidth="12.63" defaultRowHeight="15.0"/>
  <cols>
    <col customWidth="1" min="1" max="1" width="17.0"/>
    <col customWidth="1" min="2" max="2" width="34.5"/>
    <col customWidth="1" min="3" max="3" width="46.25"/>
    <col customWidth="1" min="4" max="4" width="34.63"/>
    <col customWidth="1" min="5" max="5" width="28.38"/>
    <col customWidth="1" min="6" max="6" width="10.75"/>
    <col customWidth="1" hidden="1" min="7" max="7" width="10.63"/>
    <col customWidth="1" hidden="1" min="8" max="8" width="7.0"/>
    <col customWidth="1" min="9" max="9" width="10.25"/>
    <col customWidth="1" hidden="1" min="10" max="10" width="10.63"/>
    <col customWidth="1" hidden="1" min="11" max="11" width="7.0"/>
    <col customWidth="1" min="12" max="12" width="9.38"/>
    <col customWidth="1" hidden="1" min="13" max="13" width="10.63"/>
    <col customWidth="1" hidden="1" min="14" max="14" width="7.0"/>
    <col customWidth="1" min="15" max="15" width="16.63"/>
    <col customWidth="1" min="16" max="16" width="28.63"/>
    <col customWidth="1" min="17" max="17" width="10.13"/>
    <col customWidth="1" min="18" max="18" width="8.13"/>
    <col customWidth="1" hidden="1" min="19" max="19" width="7.63"/>
    <col customWidth="1" min="20" max="26" width="9.0"/>
  </cols>
  <sheetData>
    <row r="1" ht="12.75" customHeight="1">
      <c r="A1" s="3"/>
      <c r="B1" s="3"/>
      <c r="C1" s="3"/>
      <c r="D1" s="3"/>
      <c r="E1" s="3"/>
      <c r="F1" s="3"/>
      <c r="G1" s="3"/>
      <c r="H1" s="3"/>
      <c r="I1" s="3"/>
      <c r="J1" s="3"/>
      <c r="K1" s="3"/>
      <c r="L1" s="3"/>
      <c r="M1" s="3"/>
      <c r="N1" s="3"/>
      <c r="O1" s="3"/>
      <c r="P1" s="3"/>
      <c r="Q1" s="3"/>
      <c r="R1" s="5"/>
      <c r="S1" s="3"/>
      <c r="T1" s="3"/>
      <c r="U1" s="3"/>
      <c r="V1" s="3"/>
      <c r="W1" s="3"/>
      <c r="X1" s="3"/>
      <c r="Y1" s="3"/>
      <c r="Z1" s="3"/>
    </row>
    <row r="2">
      <c r="A2" s="12" t="s">
        <v>2</v>
      </c>
      <c r="B2" s="14" t="s">
        <v>41</v>
      </c>
      <c r="C2" s="16"/>
      <c r="D2" s="16"/>
      <c r="E2" s="17"/>
      <c r="F2" s="21"/>
      <c r="G2" s="24"/>
      <c r="H2" s="26"/>
      <c r="I2" s="21"/>
      <c r="J2" s="24"/>
      <c r="K2" s="26"/>
      <c r="L2" s="21"/>
      <c r="M2" s="24"/>
      <c r="N2" s="26"/>
      <c r="O2" s="26"/>
      <c r="P2" s="26"/>
      <c r="Q2" s="26"/>
      <c r="R2" s="29"/>
      <c r="S2" s="32" t="s">
        <v>6</v>
      </c>
      <c r="T2" s="32"/>
      <c r="U2" s="32"/>
      <c r="V2" s="32"/>
      <c r="W2" s="32"/>
      <c r="X2" s="32"/>
      <c r="Y2" s="32"/>
      <c r="Z2" s="32"/>
    </row>
    <row r="3">
      <c r="A3" s="36" t="s">
        <v>9</v>
      </c>
      <c r="B3" s="37" t="s">
        <v>302</v>
      </c>
      <c r="C3" s="15"/>
      <c r="D3" s="15"/>
      <c r="E3" s="38"/>
      <c r="F3" s="21"/>
      <c r="G3" s="24"/>
      <c r="H3" s="26"/>
      <c r="I3" s="21"/>
      <c r="J3" s="24"/>
      <c r="K3" s="26"/>
      <c r="L3" s="21"/>
      <c r="M3" s="24"/>
      <c r="N3" s="26"/>
      <c r="O3" s="26"/>
      <c r="P3" s="26"/>
      <c r="Q3" s="26"/>
      <c r="R3" s="29"/>
      <c r="S3" s="32" t="s">
        <v>14</v>
      </c>
      <c r="T3" s="32"/>
      <c r="U3" s="32"/>
      <c r="V3" s="32"/>
      <c r="W3" s="32"/>
      <c r="X3" s="32"/>
      <c r="Y3" s="32"/>
      <c r="Z3" s="32"/>
    </row>
    <row r="4">
      <c r="A4" s="36" t="s">
        <v>15</v>
      </c>
      <c r="B4" s="37">
        <v>25.0</v>
      </c>
      <c r="C4" s="15"/>
      <c r="D4" s="15"/>
      <c r="E4" s="38"/>
      <c r="F4" s="21"/>
      <c r="G4" s="24"/>
      <c r="H4" s="26"/>
      <c r="I4" s="21"/>
      <c r="J4" s="24"/>
      <c r="K4" s="26"/>
      <c r="L4" s="21"/>
      <c r="M4" s="24"/>
      <c r="N4" s="26"/>
      <c r="O4" s="26"/>
      <c r="P4" s="26"/>
      <c r="Q4" s="26"/>
      <c r="R4" s="29"/>
      <c r="S4" s="32" t="s">
        <v>19</v>
      </c>
      <c r="T4" s="32"/>
      <c r="U4" s="32"/>
      <c r="V4" s="32"/>
      <c r="W4" s="32"/>
      <c r="X4" s="32"/>
      <c r="Y4" s="32"/>
      <c r="Z4" s="32"/>
    </row>
    <row r="5">
      <c r="A5" s="46" t="s">
        <v>20</v>
      </c>
      <c r="B5" s="47" t="s">
        <v>6</v>
      </c>
      <c r="C5" s="47" t="s">
        <v>14</v>
      </c>
      <c r="D5" s="47" t="s">
        <v>19</v>
      </c>
      <c r="E5" s="50" t="s">
        <v>22</v>
      </c>
      <c r="F5" s="52"/>
      <c r="G5" s="52"/>
      <c r="H5" s="53"/>
      <c r="I5" s="52"/>
      <c r="J5" s="52"/>
      <c r="K5" s="53"/>
      <c r="L5" s="52"/>
      <c r="M5" s="52"/>
      <c r="N5" s="53"/>
      <c r="O5" s="53"/>
      <c r="P5" s="53"/>
      <c r="Q5" s="53"/>
      <c r="R5" s="57"/>
      <c r="S5" s="32" t="s">
        <v>22</v>
      </c>
      <c r="T5" s="32"/>
      <c r="U5" s="32"/>
      <c r="V5" s="32"/>
      <c r="W5" s="32"/>
      <c r="X5" s="32"/>
      <c r="Y5" s="32"/>
      <c r="Z5" s="32"/>
    </row>
    <row r="6">
      <c r="A6" s="46" t="s">
        <v>25</v>
      </c>
      <c r="B6" s="68">
        <f t="shared" ref="B6:E6" si="1">COUNTIF($F10:$F996,B5)</f>
        <v>22</v>
      </c>
      <c r="C6" s="68">
        <f t="shared" si="1"/>
        <v>3</v>
      </c>
      <c r="D6" s="68">
        <f t="shared" si="1"/>
        <v>0</v>
      </c>
      <c r="E6" s="74">
        <f t="shared" si="1"/>
        <v>0</v>
      </c>
      <c r="F6" s="173"/>
      <c r="G6" s="75"/>
      <c r="H6" s="53"/>
      <c r="I6" s="75"/>
      <c r="J6" s="75"/>
      <c r="K6" s="53"/>
      <c r="L6" s="75"/>
      <c r="M6" s="75"/>
      <c r="N6" s="53"/>
      <c r="O6" s="53"/>
      <c r="P6" s="53"/>
      <c r="Q6" s="53"/>
      <c r="R6" s="57"/>
      <c r="S6" s="32"/>
      <c r="T6" s="32"/>
      <c r="U6" s="32"/>
      <c r="V6" s="32"/>
      <c r="W6" s="32"/>
      <c r="X6" s="32"/>
      <c r="Y6" s="32"/>
      <c r="Z6" s="32"/>
    </row>
    <row r="7">
      <c r="A7" s="46" t="s">
        <v>40</v>
      </c>
      <c r="B7" s="68">
        <f t="shared" ref="B7:E7" si="2">COUNTIF($I10:$I996,B5)</f>
        <v>25</v>
      </c>
      <c r="C7" s="68">
        <f t="shared" si="2"/>
        <v>0</v>
      </c>
      <c r="D7" s="68">
        <f t="shared" si="2"/>
        <v>0</v>
      </c>
      <c r="E7" s="74">
        <f t="shared" si="2"/>
        <v>0</v>
      </c>
      <c r="F7" s="173"/>
      <c r="G7" s="75"/>
      <c r="H7" s="53"/>
      <c r="I7" s="75"/>
      <c r="J7" s="75"/>
      <c r="K7" s="53"/>
      <c r="L7" s="75"/>
      <c r="M7" s="75"/>
      <c r="N7" s="53"/>
      <c r="O7" s="53"/>
      <c r="P7" s="53"/>
      <c r="Q7" s="53"/>
      <c r="R7" s="57"/>
      <c r="S7" s="32"/>
      <c r="T7" s="32"/>
      <c r="U7" s="32"/>
      <c r="V7" s="32"/>
      <c r="W7" s="32"/>
      <c r="X7" s="32"/>
      <c r="Y7" s="32"/>
      <c r="Z7" s="32"/>
    </row>
    <row r="8">
      <c r="A8" s="89" t="s">
        <v>47</v>
      </c>
      <c r="B8" s="92">
        <f t="shared" ref="B8:E8" si="3">COUNTIF($L10:$L996,B5)</f>
        <v>0</v>
      </c>
      <c r="C8" s="92">
        <f t="shared" si="3"/>
        <v>0</v>
      </c>
      <c r="D8" s="92">
        <f t="shared" si="3"/>
        <v>0</v>
      </c>
      <c r="E8" s="98">
        <f t="shared" si="3"/>
        <v>25</v>
      </c>
      <c r="F8" s="173"/>
      <c r="G8" s="75"/>
      <c r="H8" s="53"/>
      <c r="I8" s="75"/>
      <c r="J8" s="75"/>
      <c r="K8" s="53"/>
      <c r="L8" s="75"/>
      <c r="M8" s="75"/>
      <c r="N8" s="53"/>
      <c r="O8" s="53"/>
      <c r="P8" s="53"/>
      <c r="Q8" s="53"/>
      <c r="R8" s="57"/>
      <c r="S8" s="32"/>
      <c r="T8" s="32"/>
      <c r="U8" s="32"/>
      <c r="V8" s="32"/>
      <c r="W8" s="32"/>
      <c r="X8" s="32"/>
      <c r="Y8" s="32"/>
      <c r="Z8" s="32"/>
    </row>
    <row r="9">
      <c r="A9" s="53"/>
      <c r="B9" s="53"/>
      <c r="C9" s="53"/>
      <c r="D9" s="53"/>
      <c r="E9" s="53"/>
      <c r="F9" s="102"/>
      <c r="G9" s="53"/>
      <c r="H9" s="53"/>
      <c r="I9" s="102"/>
      <c r="J9" s="53"/>
      <c r="K9" s="53"/>
      <c r="L9" s="102"/>
      <c r="M9" s="53"/>
      <c r="N9" s="53"/>
      <c r="O9" s="53"/>
      <c r="P9" s="53"/>
      <c r="Q9" s="53"/>
      <c r="R9" s="57"/>
      <c r="S9" s="32"/>
      <c r="T9" s="32"/>
      <c r="U9" s="32"/>
      <c r="V9" s="32"/>
      <c r="W9" s="32"/>
      <c r="X9" s="32"/>
      <c r="Y9" s="32"/>
      <c r="Z9" s="32"/>
    </row>
    <row r="10">
      <c r="A10" s="108" t="s">
        <v>60</v>
      </c>
      <c r="B10" s="108" t="s">
        <v>61</v>
      </c>
      <c r="C10" s="108" t="s">
        <v>62</v>
      </c>
      <c r="D10" s="108" t="s">
        <v>63</v>
      </c>
      <c r="E10" s="108" t="s">
        <v>64</v>
      </c>
      <c r="F10" s="108" t="s">
        <v>25</v>
      </c>
      <c r="G10" s="108" t="s">
        <v>66</v>
      </c>
      <c r="H10" s="108" t="s">
        <v>67</v>
      </c>
      <c r="I10" s="108" t="s">
        <v>40</v>
      </c>
      <c r="J10" s="108" t="s">
        <v>66</v>
      </c>
      <c r="K10" s="108" t="s">
        <v>67</v>
      </c>
      <c r="L10" s="108" t="s">
        <v>47</v>
      </c>
      <c r="M10" s="108" t="s">
        <v>66</v>
      </c>
      <c r="N10" s="108" t="s">
        <v>67</v>
      </c>
      <c r="O10" s="108" t="s">
        <v>68</v>
      </c>
      <c r="P10" s="108" t="s">
        <v>69</v>
      </c>
      <c r="Q10" s="32"/>
      <c r="R10" s="113"/>
      <c r="S10" s="32"/>
      <c r="T10" s="32"/>
      <c r="U10" s="32"/>
      <c r="V10" s="32"/>
      <c r="W10" s="32"/>
      <c r="X10" s="32"/>
      <c r="Y10" s="32"/>
      <c r="Z10" s="32"/>
    </row>
    <row r="11">
      <c r="A11" s="183" t="s">
        <v>87</v>
      </c>
      <c r="B11" s="184"/>
      <c r="C11" s="184"/>
      <c r="D11" s="184"/>
      <c r="E11" s="184"/>
      <c r="F11" s="184"/>
      <c r="G11" s="184"/>
      <c r="H11" s="184"/>
      <c r="I11" s="184"/>
      <c r="J11" s="187"/>
      <c r="K11" s="187"/>
      <c r="L11" s="184"/>
      <c r="M11" s="189"/>
      <c r="N11" s="189"/>
      <c r="O11" s="189"/>
      <c r="P11" s="189"/>
      <c r="Q11" s="126"/>
      <c r="R11" s="118"/>
      <c r="S11" s="32"/>
      <c r="T11" s="32"/>
      <c r="U11" s="32"/>
      <c r="V11" s="32"/>
      <c r="W11" s="32"/>
      <c r="X11" s="32"/>
      <c r="Y11" s="32"/>
      <c r="Z11" s="32"/>
    </row>
    <row r="12">
      <c r="A12" s="190" t="s">
        <v>379</v>
      </c>
      <c r="B12" s="191" t="s">
        <v>380</v>
      </c>
      <c r="C12" s="191" t="s">
        <v>384</v>
      </c>
      <c r="D12" s="191" t="s">
        <v>386</v>
      </c>
      <c r="E12" s="191" t="s">
        <v>387</v>
      </c>
      <c r="F12" s="193" t="s">
        <v>6</v>
      </c>
      <c r="G12" s="193" t="s">
        <v>6</v>
      </c>
      <c r="H12" s="190" t="s">
        <v>22</v>
      </c>
      <c r="I12" s="193" t="s">
        <v>6</v>
      </c>
      <c r="J12" s="157"/>
      <c r="K12" s="157"/>
      <c r="L12" s="190" t="s">
        <v>22</v>
      </c>
      <c r="M12" s="195"/>
      <c r="N12" s="157"/>
      <c r="O12" s="157"/>
      <c r="P12" s="157"/>
      <c r="Q12" s="122"/>
      <c r="R12" s="123"/>
      <c r="S12" s="124"/>
      <c r="T12" s="124"/>
      <c r="U12" s="124"/>
      <c r="V12" s="124"/>
      <c r="W12" s="124"/>
      <c r="X12" s="124"/>
      <c r="Y12" s="124"/>
      <c r="Z12" s="124"/>
    </row>
    <row r="13">
      <c r="A13" s="190" t="s">
        <v>408</v>
      </c>
      <c r="B13" s="191" t="s">
        <v>409</v>
      </c>
      <c r="C13" s="191" t="s">
        <v>410</v>
      </c>
      <c r="D13" s="191" t="s">
        <v>411</v>
      </c>
      <c r="E13" s="191" t="s">
        <v>413</v>
      </c>
      <c r="F13" s="193" t="s">
        <v>6</v>
      </c>
      <c r="G13" s="193" t="s">
        <v>6</v>
      </c>
      <c r="H13" s="190" t="s">
        <v>22</v>
      </c>
      <c r="I13" s="193" t="s">
        <v>6</v>
      </c>
      <c r="J13" s="157"/>
      <c r="K13" s="157"/>
      <c r="L13" s="190" t="s">
        <v>22</v>
      </c>
      <c r="M13" s="195"/>
      <c r="N13" s="157"/>
      <c r="O13" s="157"/>
      <c r="P13" s="157"/>
      <c r="Q13" s="125"/>
      <c r="R13" s="123"/>
      <c r="S13" s="3"/>
      <c r="T13" s="3"/>
      <c r="U13" s="3"/>
      <c r="V13" s="3"/>
      <c r="W13" s="3"/>
      <c r="X13" s="3"/>
      <c r="Y13" s="3"/>
      <c r="Z13" s="3"/>
    </row>
    <row r="14">
      <c r="A14" s="190" t="s">
        <v>426</v>
      </c>
      <c r="B14" s="191" t="s">
        <v>427</v>
      </c>
      <c r="C14" s="191" t="s">
        <v>429</v>
      </c>
      <c r="D14" s="191" t="s">
        <v>430</v>
      </c>
      <c r="E14" s="191" t="s">
        <v>431</v>
      </c>
      <c r="F14" s="193" t="s">
        <v>6</v>
      </c>
      <c r="G14" s="193" t="s">
        <v>6</v>
      </c>
      <c r="H14" s="190" t="s">
        <v>22</v>
      </c>
      <c r="I14" s="193" t="s">
        <v>6</v>
      </c>
      <c r="J14" s="157"/>
      <c r="K14" s="157"/>
      <c r="L14" s="190" t="s">
        <v>22</v>
      </c>
      <c r="M14" s="195"/>
      <c r="N14" s="157"/>
      <c r="O14" s="157"/>
      <c r="P14" s="157"/>
      <c r="Q14" s="125"/>
      <c r="R14" s="123"/>
      <c r="S14" s="3"/>
      <c r="T14" s="3"/>
      <c r="U14" s="3"/>
      <c r="V14" s="3"/>
      <c r="W14" s="3"/>
      <c r="X14" s="3"/>
      <c r="Y14" s="3"/>
      <c r="Z14" s="3"/>
    </row>
    <row r="15">
      <c r="A15" s="190" t="s">
        <v>447</v>
      </c>
      <c r="B15" s="191" t="s">
        <v>448</v>
      </c>
      <c r="C15" s="191" t="s">
        <v>449</v>
      </c>
      <c r="D15" s="191" t="s">
        <v>450</v>
      </c>
      <c r="E15" s="191" t="s">
        <v>451</v>
      </c>
      <c r="F15" s="193" t="s">
        <v>6</v>
      </c>
      <c r="G15" s="193" t="s">
        <v>6</v>
      </c>
      <c r="H15" s="190" t="s">
        <v>22</v>
      </c>
      <c r="I15" s="193" t="s">
        <v>6</v>
      </c>
      <c r="J15" s="196"/>
      <c r="K15" s="196"/>
      <c r="L15" s="190" t="s">
        <v>22</v>
      </c>
      <c r="M15" s="197"/>
      <c r="N15" s="189"/>
      <c r="O15" s="198"/>
      <c r="P15" s="198"/>
      <c r="Q15" s="126"/>
      <c r="R15" s="118"/>
      <c r="S15" s="32"/>
      <c r="T15" s="32"/>
      <c r="U15" s="32"/>
      <c r="V15" s="32"/>
      <c r="W15" s="32"/>
      <c r="X15" s="32"/>
      <c r="Y15" s="32"/>
      <c r="Z15" s="32"/>
    </row>
    <row r="16">
      <c r="A16" s="190" t="s">
        <v>471</v>
      </c>
      <c r="B16" s="191" t="s">
        <v>474</v>
      </c>
      <c r="C16" s="191" t="s">
        <v>476</v>
      </c>
      <c r="D16" s="191" t="s">
        <v>478</v>
      </c>
      <c r="E16" s="191" t="s">
        <v>451</v>
      </c>
      <c r="F16" s="193" t="s">
        <v>6</v>
      </c>
      <c r="G16" s="193" t="s">
        <v>6</v>
      </c>
      <c r="H16" s="190" t="s">
        <v>22</v>
      </c>
      <c r="I16" s="193" t="s">
        <v>6</v>
      </c>
      <c r="J16" s="157"/>
      <c r="K16" s="157"/>
      <c r="L16" s="190" t="s">
        <v>22</v>
      </c>
      <c r="M16" s="195"/>
      <c r="N16" s="157"/>
      <c r="O16" s="157"/>
      <c r="P16" s="157"/>
      <c r="Q16" s="125"/>
      <c r="R16" s="123"/>
      <c r="S16" s="3"/>
      <c r="T16" s="3"/>
      <c r="U16" s="3"/>
      <c r="V16" s="3"/>
      <c r="W16" s="3"/>
      <c r="X16" s="3"/>
      <c r="Y16" s="3"/>
      <c r="Z16" s="3"/>
    </row>
    <row r="17">
      <c r="A17" s="199" t="s">
        <v>97</v>
      </c>
      <c r="B17" s="200"/>
      <c r="C17" s="200"/>
      <c r="D17" s="200"/>
      <c r="E17" s="200"/>
      <c r="F17" s="200"/>
      <c r="G17" s="200"/>
      <c r="H17" s="200"/>
      <c r="I17" s="200"/>
      <c r="J17" s="201"/>
      <c r="K17" s="201"/>
      <c r="L17" s="200"/>
      <c r="M17" s="165"/>
      <c r="N17" s="165"/>
      <c r="O17" s="189"/>
      <c r="P17" s="189"/>
      <c r="Q17" s="125"/>
      <c r="R17" s="5"/>
      <c r="S17" s="3"/>
      <c r="T17" s="3"/>
      <c r="U17" s="3"/>
      <c r="V17" s="3"/>
      <c r="W17" s="3"/>
      <c r="X17" s="3"/>
      <c r="Y17" s="3"/>
      <c r="Z17" s="3"/>
    </row>
    <row r="18">
      <c r="A18" s="190" t="s">
        <v>504</v>
      </c>
      <c r="B18" s="191" t="s">
        <v>505</v>
      </c>
      <c r="C18" s="191" t="s">
        <v>506</v>
      </c>
      <c r="D18" s="191" t="s">
        <v>508</v>
      </c>
      <c r="E18" s="191" t="s">
        <v>511</v>
      </c>
      <c r="F18" s="193" t="s">
        <v>6</v>
      </c>
      <c r="G18" s="193" t="s">
        <v>6</v>
      </c>
      <c r="H18" s="190" t="s">
        <v>22</v>
      </c>
      <c r="I18" s="193" t="s">
        <v>6</v>
      </c>
      <c r="J18" s="203"/>
      <c r="K18" s="203"/>
      <c r="L18" s="190" t="s">
        <v>22</v>
      </c>
      <c r="M18" s="165"/>
      <c r="N18" s="165"/>
      <c r="O18" s="204"/>
      <c r="P18" s="165"/>
      <c r="Q18" s="125"/>
      <c r="R18" s="5"/>
      <c r="S18" s="3"/>
      <c r="T18" s="3"/>
      <c r="U18" s="3"/>
      <c r="V18" s="3"/>
      <c r="W18" s="3"/>
      <c r="X18" s="3"/>
      <c r="Y18" s="3"/>
      <c r="Z18" s="3"/>
    </row>
    <row r="19">
      <c r="A19" s="190" t="s">
        <v>527</v>
      </c>
      <c r="B19" s="191" t="s">
        <v>528</v>
      </c>
      <c r="C19" s="191" t="s">
        <v>529</v>
      </c>
      <c r="D19" s="191" t="s">
        <v>530</v>
      </c>
      <c r="E19" s="191" t="s">
        <v>531</v>
      </c>
      <c r="F19" s="193" t="s">
        <v>6</v>
      </c>
      <c r="G19" s="193" t="s">
        <v>6</v>
      </c>
      <c r="H19" s="190" t="s">
        <v>22</v>
      </c>
      <c r="I19" s="193" t="s">
        <v>6</v>
      </c>
      <c r="J19" s="203"/>
      <c r="K19" s="203"/>
      <c r="L19" s="190" t="s">
        <v>22</v>
      </c>
      <c r="M19" s="165"/>
      <c r="N19" s="165"/>
      <c r="O19" s="157"/>
      <c r="P19" s="165"/>
      <c r="Q19" s="125"/>
      <c r="R19" s="5"/>
      <c r="S19" s="3"/>
      <c r="T19" s="3"/>
      <c r="U19" s="3"/>
      <c r="V19" s="3"/>
      <c r="W19" s="3"/>
      <c r="X19" s="3"/>
      <c r="Y19" s="3"/>
      <c r="Z19" s="3"/>
    </row>
    <row r="20">
      <c r="A20" s="190" t="s">
        <v>536</v>
      </c>
      <c r="B20" s="191" t="s">
        <v>537</v>
      </c>
      <c r="C20" s="191" t="s">
        <v>538</v>
      </c>
      <c r="D20" s="191" t="s">
        <v>539</v>
      </c>
      <c r="E20" s="191" t="s">
        <v>540</v>
      </c>
      <c r="F20" s="205" t="s">
        <v>14</v>
      </c>
      <c r="G20" s="193" t="s">
        <v>6</v>
      </c>
      <c r="H20" s="190" t="s">
        <v>22</v>
      </c>
      <c r="I20" s="193" t="s">
        <v>6</v>
      </c>
      <c r="J20" s="203"/>
      <c r="K20" s="203"/>
      <c r="L20" s="190" t="s">
        <v>22</v>
      </c>
      <c r="M20" s="165"/>
      <c r="N20" s="165"/>
      <c r="O20" s="206" t="s">
        <v>545</v>
      </c>
      <c r="P20" s="203" t="s">
        <v>546</v>
      </c>
      <c r="Q20" s="125"/>
      <c r="R20" s="5"/>
      <c r="S20" s="3"/>
      <c r="T20" s="3"/>
      <c r="U20" s="3"/>
      <c r="V20" s="3"/>
      <c r="W20" s="3"/>
      <c r="X20" s="3"/>
      <c r="Y20" s="3"/>
      <c r="Z20" s="3"/>
    </row>
    <row r="21">
      <c r="A21" s="190" t="s">
        <v>551</v>
      </c>
      <c r="B21" s="191" t="s">
        <v>552</v>
      </c>
      <c r="C21" s="191" t="s">
        <v>553</v>
      </c>
      <c r="D21" s="191" t="s">
        <v>554</v>
      </c>
      <c r="E21" s="191" t="s">
        <v>555</v>
      </c>
      <c r="F21" s="193" t="s">
        <v>6</v>
      </c>
      <c r="G21" s="193" t="s">
        <v>6</v>
      </c>
      <c r="H21" s="190" t="s">
        <v>22</v>
      </c>
      <c r="I21" s="193" t="s">
        <v>6</v>
      </c>
      <c r="J21" s="203"/>
      <c r="K21" s="203"/>
      <c r="L21" s="190" t="s">
        <v>22</v>
      </c>
      <c r="M21" s="165"/>
      <c r="N21" s="165"/>
      <c r="O21" s="165"/>
      <c r="P21" s="165"/>
      <c r="Q21" s="125"/>
      <c r="R21" s="5"/>
      <c r="S21" s="3"/>
      <c r="T21" s="3"/>
      <c r="U21" s="3"/>
      <c r="V21" s="3"/>
      <c r="W21" s="3"/>
      <c r="X21" s="3"/>
      <c r="Y21" s="3"/>
      <c r="Z21" s="3"/>
    </row>
    <row r="22">
      <c r="A22" s="190" t="s">
        <v>566</v>
      </c>
      <c r="B22" s="191" t="s">
        <v>567</v>
      </c>
      <c r="C22" s="191" t="s">
        <v>569</v>
      </c>
      <c r="D22" s="191" t="s">
        <v>571</v>
      </c>
      <c r="E22" s="191" t="s">
        <v>573</v>
      </c>
      <c r="F22" s="193" t="s">
        <v>6</v>
      </c>
      <c r="G22" s="193" t="s">
        <v>6</v>
      </c>
      <c r="H22" s="190" t="s">
        <v>22</v>
      </c>
      <c r="I22" s="193" t="s">
        <v>6</v>
      </c>
      <c r="J22" s="203"/>
      <c r="K22" s="203"/>
      <c r="L22" s="190" t="s">
        <v>22</v>
      </c>
      <c r="M22" s="165"/>
      <c r="N22" s="165"/>
      <c r="O22" s="165"/>
      <c r="P22" s="165"/>
      <c r="Q22" s="125"/>
      <c r="R22" s="5"/>
      <c r="S22" s="3"/>
      <c r="T22" s="3"/>
      <c r="U22" s="3"/>
      <c r="V22" s="3"/>
      <c r="W22" s="3"/>
      <c r="X22" s="3"/>
      <c r="Y22" s="3"/>
      <c r="Z22" s="3"/>
    </row>
    <row r="23">
      <c r="A23" s="207" t="s">
        <v>104</v>
      </c>
      <c r="B23" s="208"/>
      <c r="C23" s="208"/>
      <c r="D23" s="208"/>
      <c r="E23" s="208"/>
      <c r="F23" s="208"/>
      <c r="G23" s="208"/>
      <c r="H23" s="208"/>
      <c r="I23" s="208"/>
      <c r="J23" s="203"/>
      <c r="K23" s="203"/>
      <c r="L23" s="208"/>
      <c r="M23" s="165"/>
      <c r="N23" s="165"/>
      <c r="O23" s="189"/>
      <c r="P23" s="189"/>
      <c r="Q23" s="125"/>
      <c r="R23" s="5"/>
      <c r="S23" s="3"/>
      <c r="T23" s="3"/>
      <c r="U23" s="3"/>
      <c r="V23" s="3"/>
      <c r="W23" s="3"/>
      <c r="X23" s="3"/>
      <c r="Y23" s="3"/>
      <c r="Z23" s="3"/>
    </row>
    <row r="24">
      <c r="A24" s="190" t="s">
        <v>583</v>
      </c>
      <c r="B24" s="191" t="s">
        <v>584</v>
      </c>
      <c r="C24" s="191" t="s">
        <v>585</v>
      </c>
      <c r="D24" s="191" t="s">
        <v>586</v>
      </c>
      <c r="E24" s="191" t="s">
        <v>587</v>
      </c>
      <c r="F24" s="193" t="s">
        <v>6</v>
      </c>
      <c r="G24" s="193" t="s">
        <v>6</v>
      </c>
      <c r="H24" s="190" t="s">
        <v>22</v>
      </c>
      <c r="I24" s="193" t="s">
        <v>6</v>
      </c>
      <c r="J24" s="203"/>
      <c r="K24" s="203"/>
      <c r="L24" s="190" t="s">
        <v>22</v>
      </c>
      <c r="M24" s="165"/>
      <c r="N24" s="165"/>
      <c r="O24" s="165"/>
      <c r="P24" s="165"/>
      <c r="Q24" s="125"/>
      <c r="R24" s="5"/>
      <c r="S24" s="3"/>
      <c r="T24" s="3"/>
      <c r="U24" s="3"/>
      <c r="V24" s="3"/>
      <c r="W24" s="3"/>
      <c r="X24" s="3"/>
      <c r="Y24" s="3"/>
      <c r="Z24" s="3"/>
    </row>
    <row r="25">
      <c r="A25" s="190" t="s">
        <v>592</v>
      </c>
      <c r="B25" s="191" t="s">
        <v>593</v>
      </c>
      <c r="C25" s="191" t="s">
        <v>594</v>
      </c>
      <c r="D25" s="191" t="s">
        <v>595</v>
      </c>
      <c r="E25" s="191" t="s">
        <v>597</v>
      </c>
      <c r="F25" s="193" t="s">
        <v>6</v>
      </c>
      <c r="G25" s="193" t="s">
        <v>6</v>
      </c>
      <c r="H25" s="190" t="s">
        <v>22</v>
      </c>
      <c r="I25" s="193" t="s">
        <v>6</v>
      </c>
      <c r="J25" s="203"/>
      <c r="K25" s="203"/>
      <c r="L25" s="190" t="s">
        <v>22</v>
      </c>
      <c r="M25" s="165"/>
      <c r="N25" s="165"/>
      <c r="O25" s="165"/>
      <c r="P25" s="165"/>
      <c r="Q25" s="125"/>
      <c r="R25" s="5"/>
      <c r="S25" s="3"/>
      <c r="T25" s="3"/>
      <c r="U25" s="3"/>
      <c r="V25" s="3"/>
      <c r="W25" s="3"/>
      <c r="X25" s="3"/>
      <c r="Y25" s="3"/>
      <c r="Z25" s="3"/>
    </row>
    <row r="26">
      <c r="A26" s="190" t="s">
        <v>605</v>
      </c>
      <c r="B26" s="191" t="s">
        <v>606</v>
      </c>
      <c r="C26" s="191" t="s">
        <v>607</v>
      </c>
      <c r="D26" s="191" t="s">
        <v>608</v>
      </c>
      <c r="E26" s="191" t="s">
        <v>609</v>
      </c>
      <c r="F26" s="193" t="s">
        <v>6</v>
      </c>
      <c r="G26" s="193" t="s">
        <v>6</v>
      </c>
      <c r="H26" s="190" t="s">
        <v>22</v>
      </c>
      <c r="I26" s="193" t="s">
        <v>6</v>
      </c>
      <c r="J26" s="203"/>
      <c r="K26" s="203"/>
      <c r="L26" s="190" t="s">
        <v>22</v>
      </c>
      <c r="M26" s="165"/>
      <c r="N26" s="165"/>
      <c r="O26" s="165"/>
      <c r="P26" s="165"/>
      <c r="Q26" s="125"/>
      <c r="R26" s="5"/>
      <c r="S26" s="3"/>
      <c r="T26" s="3"/>
      <c r="U26" s="3"/>
      <c r="V26" s="3"/>
      <c r="W26" s="3"/>
      <c r="X26" s="3"/>
      <c r="Y26" s="3"/>
      <c r="Z26" s="3"/>
    </row>
    <row r="27">
      <c r="A27" s="190" t="s">
        <v>619</v>
      </c>
      <c r="B27" s="191" t="s">
        <v>620</v>
      </c>
      <c r="C27" s="191" t="s">
        <v>621</v>
      </c>
      <c r="D27" s="191" t="s">
        <v>622</v>
      </c>
      <c r="E27" s="191" t="s">
        <v>623</v>
      </c>
      <c r="F27" s="193" t="s">
        <v>6</v>
      </c>
      <c r="G27" s="193" t="s">
        <v>6</v>
      </c>
      <c r="H27" s="190" t="s">
        <v>22</v>
      </c>
      <c r="I27" s="193" t="s">
        <v>6</v>
      </c>
      <c r="J27" s="203"/>
      <c r="K27" s="203"/>
      <c r="L27" s="190" t="s">
        <v>22</v>
      </c>
      <c r="M27" s="165"/>
      <c r="N27" s="165"/>
      <c r="O27" s="165"/>
      <c r="P27" s="165"/>
      <c r="Q27" s="125"/>
      <c r="R27" s="5"/>
      <c r="S27" s="3"/>
      <c r="T27" s="3"/>
      <c r="U27" s="3"/>
      <c r="V27" s="3"/>
      <c r="W27" s="3"/>
      <c r="X27" s="3"/>
      <c r="Y27" s="3"/>
      <c r="Z27" s="3"/>
    </row>
    <row r="28">
      <c r="A28" s="190" t="s">
        <v>632</v>
      </c>
      <c r="B28" s="191" t="s">
        <v>634</v>
      </c>
      <c r="C28" s="191" t="s">
        <v>636</v>
      </c>
      <c r="D28" s="191" t="s">
        <v>637</v>
      </c>
      <c r="E28" s="191" t="s">
        <v>638</v>
      </c>
      <c r="F28" s="193" t="s">
        <v>6</v>
      </c>
      <c r="G28" s="193" t="s">
        <v>6</v>
      </c>
      <c r="H28" s="190" t="s">
        <v>22</v>
      </c>
      <c r="I28" s="193" t="s">
        <v>6</v>
      </c>
      <c r="J28" s="203"/>
      <c r="K28" s="203"/>
      <c r="L28" s="190" t="s">
        <v>22</v>
      </c>
      <c r="M28" s="165"/>
      <c r="N28" s="165"/>
      <c r="O28" s="165"/>
      <c r="P28" s="165"/>
      <c r="Q28" s="125"/>
      <c r="R28" s="5"/>
      <c r="S28" s="3"/>
      <c r="T28" s="3"/>
      <c r="U28" s="3"/>
      <c r="V28" s="3"/>
      <c r="W28" s="3"/>
      <c r="X28" s="3"/>
      <c r="Y28" s="3"/>
      <c r="Z28" s="3"/>
    </row>
    <row r="29">
      <c r="A29" s="207" t="s">
        <v>105</v>
      </c>
      <c r="B29" s="208"/>
      <c r="C29" s="208"/>
      <c r="D29" s="208"/>
      <c r="E29" s="208"/>
      <c r="F29" s="208"/>
      <c r="G29" s="208"/>
      <c r="H29" s="208"/>
      <c r="I29" s="208"/>
      <c r="J29" s="203"/>
      <c r="K29" s="203"/>
      <c r="L29" s="208"/>
      <c r="M29" s="165"/>
      <c r="N29" s="165"/>
      <c r="O29" s="189"/>
      <c r="P29" s="189"/>
      <c r="Q29" s="125"/>
      <c r="R29" s="5"/>
      <c r="S29" s="3"/>
      <c r="T29" s="3"/>
      <c r="U29" s="3"/>
      <c r="V29" s="3"/>
      <c r="W29" s="3"/>
      <c r="X29" s="3"/>
      <c r="Y29" s="3"/>
      <c r="Z29" s="3"/>
    </row>
    <row r="30">
      <c r="A30" s="190" t="s">
        <v>662</v>
      </c>
      <c r="B30" s="191" t="s">
        <v>663</v>
      </c>
      <c r="C30" s="191" t="s">
        <v>664</v>
      </c>
      <c r="D30" s="191" t="s">
        <v>665</v>
      </c>
      <c r="E30" s="191" t="s">
        <v>667</v>
      </c>
      <c r="F30" s="193" t="s">
        <v>6</v>
      </c>
      <c r="G30" s="193" t="s">
        <v>6</v>
      </c>
      <c r="H30" s="190" t="s">
        <v>22</v>
      </c>
      <c r="I30" s="193" t="s">
        <v>6</v>
      </c>
      <c r="J30" s="203"/>
      <c r="K30" s="203"/>
      <c r="L30" s="190" t="s">
        <v>22</v>
      </c>
      <c r="M30" s="203"/>
      <c r="N30" s="203"/>
      <c r="O30" s="203"/>
      <c r="P30" s="203"/>
      <c r="Q30" s="125"/>
      <c r="R30" s="5"/>
      <c r="S30" s="3"/>
      <c r="T30" s="3"/>
      <c r="U30" s="3"/>
      <c r="V30" s="3"/>
      <c r="W30" s="3"/>
      <c r="X30" s="3"/>
      <c r="Y30" s="3"/>
      <c r="Z30" s="3"/>
    </row>
    <row r="31">
      <c r="A31" s="190" t="s">
        <v>675</v>
      </c>
      <c r="B31" s="191" t="s">
        <v>677</v>
      </c>
      <c r="C31" s="191" t="s">
        <v>678</v>
      </c>
      <c r="D31" s="191" t="s">
        <v>679</v>
      </c>
      <c r="E31" s="191" t="s">
        <v>667</v>
      </c>
      <c r="F31" s="193" t="s">
        <v>6</v>
      </c>
      <c r="G31" s="193" t="s">
        <v>6</v>
      </c>
      <c r="H31" s="190" t="s">
        <v>22</v>
      </c>
      <c r="I31" s="193" t="s">
        <v>6</v>
      </c>
      <c r="J31" s="203"/>
      <c r="K31" s="203"/>
      <c r="L31" s="190" t="s">
        <v>22</v>
      </c>
      <c r="M31" s="203"/>
      <c r="N31" s="203"/>
      <c r="O31" s="203"/>
      <c r="P31" s="203"/>
      <c r="Q31" s="125"/>
      <c r="R31" s="5"/>
      <c r="S31" s="3"/>
      <c r="T31" s="3"/>
      <c r="U31" s="3"/>
      <c r="V31" s="3"/>
      <c r="W31" s="3"/>
      <c r="X31" s="3"/>
      <c r="Y31" s="3"/>
      <c r="Z31" s="3"/>
    </row>
    <row r="32">
      <c r="A32" s="190" t="s">
        <v>685</v>
      </c>
      <c r="B32" s="191" t="s">
        <v>686</v>
      </c>
      <c r="C32" s="191" t="s">
        <v>688</v>
      </c>
      <c r="D32" s="191" t="s">
        <v>690</v>
      </c>
      <c r="E32" s="191" t="s">
        <v>667</v>
      </c>
      <c r="F32" s="193" t="s">
        <v>6</v>
      </c>
      <c r="G32" s="193" t="s">
        <v>6</v>
      </c>
      <c r="H32" s="190" t="s">
        <v>22</v>
      </c>
      <c r="I32" s="193" t="s">
        <v>6</v>
      </c>
      <c r="J32" s="203"/>
      <c r="K32" s="203"/>
      <c r="L32" s="190" t="s">
        <v>22</v>
      </c>
      <c r="M32" s="203"/>
      <c r="N32" s="203"/>
      <c r="O32" s="203"/>
      <c r="P32" s="203"/>
      <c r="Q32" s="125"/>
      <c r="R32" s="5"/>
      <c r="S32" s="3"/>
      <c r="T32" s="3"/>
      <c r="U32" s="3"/>
      <c r="V32" s="3"/>
      <c r="W32" s="3"/>
      <c r="X32" s="3"/>
      <c r="Y32" s="3"/>
      <c r="Z32" s="3"/>
    </row>
    <row r="33">
      <c r="A33" s="190" t="s">
        <v>700</v>
      </c>
      <c r="B33" s="191" t="s">
        <v>701</v>
      </c>
      <c r="C33" s="191" t="s">
        <v>702</v>
      </c>
      <c r="D33" s="191" t="s">
        <v>703</v>
      </c>
      <c r="E33" s="191" t="s">
        <v>704</v>
      </c>
      <c r="F33" s="205" t="s">
        <v>14</v>
      </c>
      <c r="G33" s="193" t="s">
        <v>6</v>
      </c>
      <c r="H33" s="190" t="s">
        <v>22</v>
      </c>
      <c r="I33" s="193" t="s">
        <v>6</v>
      </c>
      <c r="J33" s="203"/>
      <c r="K33" s="203"/>
      <c r="L33" s="190" t="s">
        <v>22</v>
      </c>
      <c r="M33" s="203"/>
      <c r="N33" s="203"/>
      <c r="O33" s="157" t="s">
        <v>710</v>
      </c>
      <c r="P33" s="203" t="s">
        <v>711</v>
      </c>
      <c r="Q33" s="125"/>
      <c r="R33" s="5"/>
      <c r="S33" s="3"/>
      <c r="T33" s="3"/>
      <c r="U33" s="3"/>
      <c r="V33" s="3"/>
      <c r="W33" s="3"/>
      <c r="X33" s="3"/>
      <c r="Y33" s="3"/>
      <c r="Z33" s="3"/>
    </row>
    <row r="34">
      <c r="A34" s="190" t="s">
        <v>715</v>
      </c>
      <c r="B34" s="191" t="s">
        <v>717</v>
      </c>
      <c r="C34" s="191" t="s">
        <v>719</v>
      </c>
      <c r="D34" s="191" t="s">
        <v>721</v>
      </c>
      <c r="E34" s="191" t="s">
        <v>722</v>
      </c>
      <c r="F34" s="193" t="s">
        <v>6</v>
      </c>
      <c r="G34" s="193" t="s">
        <v>6</v>
      </c>
      <c r="H34" s="190" t="s">
        <v>22</v>
      </c>
      <c r="I34" s="193" t="s">
        <v>6</v>
      </c>
      <c r="J34" s="203"/>
      <c r="K34" s="203"/>
      <c r="L34" s="190" t="s">
        <v>22</v>
      </c>
      <c r="M34" s="203"/>
      <c r="N34" s="203"/>
      <c r="O34" s="203"/>
      <c r="P34" s="203"/>
      <c r="Q34" s="125"/>
      <c r="R34" s="5"/>
      <c r="S34" s="3"/>
      <c r="T34" s="3"/>
      <c r="U34" s="3"/>
      <c r="V34" s="3"/>
      <c r="W34" s="3"/>
      <c r="X34" s="3"/>
      <c r="Y34" s="3"/>
      <c r="Z34" s="3"/>
    </row>
    <row r="35">
      <c r="A35" s="207" t="s">
        <v>116</v>
      </c>
      <c r="B35" s="208"/>
      <c r="C35" s="208"/>
      <c r="D35" s="208"/>
      <c r="E35" s="208"/>
      <c r="F35" s="208"/>
      <c r="G35" s="208"/>
      <c r="H35" s="208"/>
      <c r="I35" s="208"/>
      <c r="J35" s="203"/>
      <c r="K35" s="203"/>
      <c r="L35" s="208"/>
      <c r="M35" s="165"/>
      <c r="N35" s="165"/>
      <c r="O35" s="189"/>
      <c r="P35" s="189"/>
      <c r="Q35" s="125"/>
      <c r="R35" s="5"/>
      <c r="S35" s="3"/>
      <c r="T35" s="3"/>
      <c r="U35" s="3"/>
      <c r="V35" s="3"/>
      <c r="W35" s="3"/>
      <c r="X35" s="3"/>
      <c r="Y35" s="3"/>
      <c r="Z35" s="3"/>
    </row>
    <row r="36">
      <c r="A36" s="190" t="s">
        <v>725</v>
      </c>
      <c r="B36" s="191" t="s">
        <v>726</v>
      </c>
      <c r="C36" s="191" t="s">
        <v>727</v>
      </c>
      <c r="D36" s="191" t="s">
        <v>728</v>
      </c>
      <c r="E36" s="191" t="s">
        <v>729</v>
      </c>
      <c r="F36" s="193" t="s">
        <v>6</v>
      </c>
      <c r="G36" s="193" t="s">
        <v>6</v>
      </c>
      <c r="H36" s="190" t="s">
        <v>22</v>
      </c>
      <c r="I36" s="193" t="s">
        <v>6</v>
      </c>
      <c r="J36" s="203"/>
      <c r="K36" s="203"/>
      <c r="L36" s="190" t="s">
        <v>22</v>
      </c>
      <c r="M36" s="165"/>
      <c r="N36" s="165"/>
      <c r="O36" s="165"/>
      <c r="P36" s="165"/>
      <c r="Q36" s="125"/>
      <c r="R36" s="5"/>
      <c r="S36" s="3"/>
      <c r="T36" s="3"/>
      <c r="U36" s="3"/>
      <c r="V36" s="3"/>
      <c r="W36" s="3"/>
      <c r="X36" s="3"/>
      <c r="Y36" s="3"/>
      <c r="Z36" s="3"/>
    </row>
    <row r="37">
      <c r="A37" s="190" t="s">
        <v>730</v>
      </c>
      <c r="B37" s="191" t="s">
        <v>731</v>
      </c>
      <c r="C37" s="191" t="s">
        <v>732</v>
      </c>
      <c r="D37" s="191" t="s">
        <v>733</v>
      </c>
      <c r="E37" s="191" t="s">
        <v>734</v>
      </c>
      <c r="F37" s="193" t="s">
        <v>6</v>
      </c>
      <c r="G37" s="193" t="s">
        <v>6</v>
      </c>
      <c r="H37" s="190" t="s">
        <v>22</v>
      </c>
      <c r="I37" s="193" t="s">
        <v>6</v>
      </c>
      <c r="J37" s="203"/>
      <c r="K37" s="203"/>
      <c r="L37" s="190" t="s">
        <v>22</v>
      </c>
      <c r="M37" s="165"/>
      <c r="N37" s="165"/>
      <c r="O37" s="165"/>
      <c r="P37" s="165"/>
      <c r="Q37" s="125"/>
      <c r="R37" s="5"/>
      <c r="S37" s="3"/>
      <c r="T37" s="3"/>
      <c r="U37" s="3"/>
      <c r="V37" s="3"/>
      <c r="W37" s="3"/>
      <c r="X37" s="3"/>
      <c r="Y37" s="3"/>
      <c r="Z37" s="3"/>
    </row>
    <row r="38">
      <c r="A38" s="190" t="s">
        <v>735</v>
      </c>
      <c r="B38" s="191" t="s">
        <v>736</v>
      </c>
      <c r="C38" s="191" t="s">
        <v>737</v>
      </c>
      <c r="D38" s="191" t="s">
        <v>738</v>
      </c>
      <c r="E38" s="191" t="s">
        <v>739</v>
      </c>
      <c r="F38" s="205" t="s">
        <v>14</v>
      </c>
      <c r="G38" s="193" t="s">
        <v>6</v>
      </c>
      <c r="H38" s="190" t="s">
        <v>22</v>
      </c>
      <c r="I38" s="193" t="s">
        <v>6</v>
      </c>
      <c r="J38" s="203"/>
      <c r="K38" s="203"/>
      <c r="L38" s="190" t="s">
        <v>22</v>
      </c>
      <c r="M38" s="165"/>
      <c r="N38" s="165"/>
      <c r="O38" s="157" t="s">
        <v>740</v>
      </c>
      <c r="P38" s="157" t="s">
        <v>741</v>
      </c>
      <c r="Q38" s="125"/>
      <c r="R38" s="5"/>
      <c r="S38" s="3"/>
      <c r="T38" s="3"/>
      <c r="U38" s="3"/>
      <c r="V38" s="3"/>
      <c r="W38" s="3"/>
      <c r="X38" s="3"/>
      <c r="Y38" s="3"/>
      <c r="Z38" s="3"/>
    </row>
    <row r="39">
      <c r="A39" s="190" t="s">
        <v>742</v>
      </c>
      <c r="B39" s="191" t="s">
        <v>743</v>
      </c>
      <c r="C39" s="191" t="s">
        <v>744</v>
      </c>
      <c r="D39" s="191" t="s">
        <v>745</v>
      </c>
      <c r="E39" s="191" t="s">
        <v>746</v>
      </c>
      <c r="F39" s="193" t="s">
        <v>6</v>
      </c>
      <c r="G39" s="193" t="s">
        <v>6</v>
      </c>
      <c r="H39" s="190" t="s">
        <v>22</v>
      </c>
      <c r="I39" s="193" t="s">
        <v>6</v>
      </c>
      <c r="J39" s="203"/>
      <c r="K39" s="203"/>
      <c r="L39" s="190" t="s">
        <v>22</v>
      </c>
      <c r="M39" s="165"/>
      <c r="N39" s="165"/>
      <c r="O39" s="165"/>
      <c r="P39" s="165"/>
      <c r="Q39" s="125"/>
      <c r="R39" s="5"/>
      <c r="S39" s="3"/>
      <c r="T39" s="3"/>
      <c r="U39" s="3"/>
      <c r="V39" s="3"/>
      <c r="W39" s="3"/>
      <c r="X39" s="3"/>
      <c r="Y39" s="3"/>
      <c r="Z39" s="3"/>
    </row>
    <row r="40">
      <c r="A40" s="190" t="s">
        <v>747</v>
      </c>
      <c r="B40" s="191" t="s">
        <v>748</v>
      </c>
      <c r="C40" s="191" t="s">
        <v>749</v>
      </c>
      <c r="D40" s="191" t="s">
        <v>750</v>
      </c>
      <c r="E40" s="191" t="s">
        <v>540</v>
      </c>
      <c r="F40" s="193" t="s">
        <v>6</v>
      </c>
      <c r="G40" s="193" t="s">
        <v>6</v>
      </c>
      <c r="H40" s="190" t="s">
        <v>22</v>
      </c>
      <c r="I40" s="193" t="s">
        <v>6</v>
      </c>
      <c r="J40" s="203"/>
      <c r="K40" s="203"/>
      <c r="L40" s="190" t="s">
        <v>22</v>
      </c>
      <c r="M40" s="165"/>
      <c r="N40" s="165"/>
      <c r="O40" s="165"/>
      <c r="P40" s="165"/>
      <c r="Q40" s="125"/>
      <c r="R40" s="5"/>
      <c r="S40" s="3"/>
      <c r="T40" s="3"/>
      <c r="U40" s="3"/>
      <c r="V40" s="3"/>
      <c r="W40" s="3"/>
      <c r="X40" s="3"/>
      <c r="Y40" s="3"/>
      <c r="Z40" s="3"/>
    </row>
    <row r="41" ht="12.75" customHeight="1">
      <c r="A41" s="151"/>
      <c r="B41" s="151"/>
      <c r="C41" s="151"/>
      <c r="D41" s="151"/>
      <c r="E41" s="151"/>
      <c r="F41" s="151"/>
      <c r="G41" s="151"/>
      <c r="H41" s="151"/>
      <c r="I41" s="151"/>
      <c r="J41" s="151"/>
      <c r="K41" s="151"/>
      <c r="L41" s="151"/>
      <c r="M41" s="151"/>
      <c r="N41" s="151"/>
      <c r="O41" s="151"/>
      <c r="P41" s="151"/>
      <c r="Q41" s="3"/>
      <c r="R41" s="5"/>
      <c r="S41" s="3"/>
      <c r="T41" s="3"/>
      <c r="U41" s="3"/>
      <c r="V41" s="3"/>
      <c r="W41" s="3"/>
      <c r="X41" s="3"/>
      <c r="Y41" s="3"/>
      <c r="Z41" s="3"/>
    </row>
    <row r="42" ht="12.75" customHeight="1">
      <c r="A42" s="3"/>
      <c r="B42" s="3"/>
      <c r="C42" s="3"/>
      <c r="D42" s="3"/>
      <c r="E42" s="3"/>
      <c r="F42" s="3"/>
      <c r="G42" s="3"/>
      <c r="H42" s="3"/>
      <c r="I42" s="3"/>
      <c r="J42" s="3"/>
      <c r="K42" s="3"/>
      <c r="L42" s="3"/>
      <c r="M42" s="3"/>
      <c r="N42" s="3"/>
      <c r="O42" s="3"/>
      <c r="P42" s="3"/>
      <c r="Q42" s="3"/>
      <c r="R42" s="5"/>
      <c r="S42" s="3"/>
      <c r="T42" s="3"/>
      <c r="U42" s="3"/>
      <c r="V42" s="3"/>
      <c r="W42" s="3"/>
      <c r="X42" s="3"/>
      <c r="Y42" s="3"/>
      <c r="Z42" s="3"/>
    </row>
    <row r="43" ht="12.75" customHeight="1">
      <c r="A43" s="3"/>
      <c r="B43" s="3"/>
      <c r="C43" s="3"/>
      <c r="D43" s="3"/>
      <c r="E43" s="3"/>
      <c r="F43" s="3"/>
      <c r="G43" s="3"/>
      <c r="H43" s="3"/>
      <c r="I43" s="3"/>
      <c r="J43" s="3"/>
      <c r="K43" s="3"/>
      <c r="L43" s="3"/>
      <c r="M43" s="3"/>
      <c r="N43" s="3"/>
      <c r="O43" s="3"/>
      <c r="P43" s="3"/>
      <c r="Q43" s="3"/>
      <c r="R43" s="5"/>
      <c r="S43" s="3"/>
      <c r="T43" s="3"/>
      <c r="U43" s="3"/>
      <c r="V43" s="3"/>
      <c r="W43" s="3"/>
      <c r="X43" s="3"/>
      <c r="Y43" s="3"/>
      <c r="Z43" s="3"/>
    </row>
    <row r="44" ht="12.75" customHeight="1">
      <c r="A44" s="3"/>
      <c r="B44" s="3"/>
      <c r="C44" s="3"/>
      <c r="D44" s="3"/>
      <c r="E44" s="3"/>
      <c r="F44" s="3"/>
      <c r="G44" s="3"/>
      <c r="H44" s="3"/>
      <c r="I44" s="3"/>
      <c r="J44" s="3"/>
      <c r="K44" s="3"/>
      <c r="L44" s="3"/>
      <c r="M44" s="3"/>
      <c r="N44" s="3"/>
      <c r="O44" s="3"/>
      <c r="P44" s="3"/>
      <c r="Q44" s="3"/>
      <c r="R44" s="5"/>
      <c r="S44" s="3"/>
      <c r="T44" s="3"/>
      <c r="U44" s="3"/>
      <c r="V44" s="3"/>
      <c r="W44" s="3"/>
      <c r="X44" s="3"/>
      <c r="Y44" s="3"/>
      <c r="Z44" s="3"/>
    </row>
    <row r="45" ht="12.75" customHeight="1">
      <c r="A45" s="3"/>
      <c r="B45" s="3"/>
      <c r="C45" s="3"/>
      <c r="D45" s="3"/>
      <c r="E45" s="3"/>
      <c r="F45" s="3"/>
      <c r="G45" s="3"/>
      <c r="H45" s="3"/>
      <c r="I45" s="3"/>
      <c r="J45" s="3"/>
      <c r="K45" s="3"/>
      <c r="L45" s="3"/>
      <c r="M45" s="3"/>
      <c r="N45" s="3"/>
      <c r="O45" s="3"/>
      <c r="P45" s="3"/>
      <c r="Q45" s="3"/>
      <c r="R45" s="5"/>
      <c r="S45" s="3"/>
      <c r="T45" s="3"/>
      <c r="U45" s="3"/>
      <c r="V45" s="3"/>
      <c r="W45" s="3"/>
      <c r="X45" s="3"/>
      <c r="Y45" s="3"/>
      <c r="Z45" s="3"/>
    </row>
    <row r="46" ht="12.75" customHeight="1">
      <c r="A46" s="3"/>
      <c r="B46" s="3"/>
      <c r="C46" s="3"/>
      <c r="D46" s="3"/>
      <c r="E46" s="3"/>
      <c r="F46" s="3"/>
      <c r="G46" s="3"/>
      <c r="H46" s="3"/>
      <c r="I46" s="3"/>
      <c r="J46" s="3"/>
      <c r="K46" s="3"/>
      <c r="L46" s="3"/>
      <c r="M46" s="3"/>
      <c r="N46" s="3"/>
      <c r="O46" s="3"/>
      <c r="P46" s="3"/>
      <c r="Q46" s="3"/>
      <c r="R46" s="5"/>
      <c r="S46" s="3"/>
      <c r="T46" s="3"/>
      <c r="U46" s="3"/>
      <c r="V46" s="3"/>
      <c r="W46" s="3"/>
      <c r="X46" s="3"/>
      <c r="Y46" s="3"/>
      <c r="Z46" s="3"/>
    </row>
    <row r="47" ht="12.75" customHeight="1">
      <c r="A47" s="3"/>
      <c r="B47" s="3"/>
      <c r="C47" s="3"/>
      <c r="D47" s="3"/>
      <c r="E47" s="3"/>
      <c r="F47" s="3"/>
      <c r="G47" s="3"/>
      <c r="H47" s="3"/>
      <c r="I47" s="3"/>
      <c r="J47" s="3"/>
      <c r="K47" s="3"/>
      <c r="L47" s="3"/>
      <c r="M47" s="3"/>
      <c r="N47" s="3"/>
      <c r="O47" s="3"/>
      <c r="P47" s="3"/>
      <c r="Q47" s="3"/>
      <c r="R47" s="5"/>
      <c r="S47" s="3"/>
      <c r="T47" s="3"/>
      <c r="U47" s="3"/>
      <c r="V47" s="3"/>
      <c r="W47" s="3"/>
      <c r="X47" s="3"/>
      <c r="Y47" s="3"/>
      <c r="Z47" s="3"/>
    </row>
    <row r="48" ht="12.75" customHeight="1">
      <c r="A48" s="3"/>
      <c r="B48" s="3"/>
      <c r="C48" s="3"/>
      <c r="D48" s="3"/>
      <c r="E48" s="3"/>
      <c r="F48" s="3"/>
      <c r="G48" s="3"/>
      <c r="H48" s="3"/>
      <c r="I48" s="3"/>
      <c r="J48" s="3"/>
      <c r="K48" s="3"/>
      <c r="L48" s="3"/>
      <c r="M48" s="3"/>
      <c r="N48" s="3"/>
      <c r="O48" s="3"/>
      <c r="P48" s="3"/>
      <c r="Q48" s="3"/>
      <c r="R48" s="5"/>
      <c r="S48" s="3"/>
      <c r="T48" s="3"/>
      <c r="U48" s="3"/>
      <c r="V48" s="3"/>
      <c r="W48" s="3"/>
      <c r="X48" s="3"/>
      <c r="Y48" s="3"/>
      <c r="Z48" s="3"/>
    </row>
    <row r="49" ht="12.75" customHeight="1">
      <c r="A49" s="3"/>
      <c r="B49" s="3"/>
      <c r="C49" s="3"/>
      <c r="D49" s="3"/>
      <c r="E49" s="3"/>
      <c r="F49" s="3"/>
      <c r="G49" s="3"/>
      <c r="H49" s="3"/>
      <c r="I49" s="3"/>
      <c r="J49" s="3"/>
      <c r="K49" s="3"/>
      <c r="L49" s="3"/>
      <c r="M49" s="3"/>
      <c r="N49" s="3"/>
      <c r="O49" s="3"/>
      <c r="P49" s="3"/>
      <c r="Q49" s="3"/>
      <c r="R49" s="5"/>
      <c r="S49" s="3"/>
      <c r="T49" s="3"/>
      <c r="U49" s="3"/>
      <c r="V49" s="3"/>
      <c r="W49" s="3"/>
      <c r="X49" s="3"/>
      <c r="Y49" s="3"/>
      <c r="Z49" s="3"/>
    </row>
    <row r="50" ht="12.75" customHeight="1">
      <c r="A50" s="3"/>
      <c r="B50" s="3"/>
      <c r="C50" s="3"/>
      <c r="D50" s="3"/>
      <c r="E50" s="3"/>
      <c r="F50" s="3"/>
      <c r="G50" s="3"/>
      <c r="H50" s="3"/>
      <c r="I50" s="3"/>
      <c r="J50" s="3"/>
      <c r="K50" s="3"/>
      <c r="L50" s="3"/>
      <c r="M50" s="3"/>
      <c r="N50" s="3"/>
      <c r="O50" s="3"/>
      <c r="P50" s="3"/>
      <c r="Q50" s="3"/>
      <c r="R50" s="5"/>
      <c r="S50" s="3"/>
      <c r="T50" s="3"/>
      <c r="U50" s="3"/>
      <c r="V50" s="3"/>
      <c r="W50" s="3"/>
      <c r="X50" s="3"/>
      <c r="Y50" s="3"/>
      <c r="Z50" s="3"/>
    </row>
    <row r="51" ht="12.75" customHeight="1">
      <c r="A51" s="3"/>
      <c r="B51" s="3"/>
      <c r="C51" s="3"/>
      <c r="D51" s="3"/>
      <c r="E51" s="3"/>
      <c r="F51" s="3"/>
      <c r="G51" s="3"/>
      <c r="H51" s="3"/>
      <c r="I51" s="3"/>
      <c r="J51" s="3"/>
      <c r="K51" s="3"/>
      <c r="L51" s="3"/>
      <c r="M51" s="3"/>
      <c r="N51" s="3"/>
      <c r="O51" s="3"/>
      <c r="P51" s="3"/>
      <c r="Q51" s="3"/>
      <c r="R51" s="5"/>
      <c r="S51" s="3"/>
      <c r="T51" s="3"/>
      <c r="U51" s="3"/>
      <c r="V51" s="3"/>
      <c r="W51" s="3"/>
      <c r="X51" s="3"/>
      <c r="Y51" s="3"/>
      <c r="Z51" s="3"/>
    </row>
    <row r="52" ht="12.75" customHeight="1">
      <c r="A52" s="3"/>
      <c r="B52" s="3"/>
      <c r="C52" s="3"/>
      <c r="D52" s="3"/>
      <c r="E52" s="3"/>
      <c r="F52" s="3"/>
      <c r="G52" s="3"/>
      <c r="H52" s="3"/>
      <c r="I52" s="3"/>
      <c r="J52" s="3"/>
      <c r="K52" s="3"/>
      <c r="L52" s="3"/>
      <c r="M52" s="3"/>
      <c r="N52" s="3"/>
      <c r="O52" s="3"/>
      <c r="P52" s="3"/>
      <c r="Q52" s="3"/>
      <c r="R52" s="5"/>
      <c r="S52" s="3"/>
      <c r="T52" s="3"/>
      <c r="U52" s="3"/>
      <c r="V52" s="3"/>
      <c r="W52" s="3"/>
      <c r="X52" s="3"/>
      <c r="Y52" s="3"/>
      <c r="Z52" s="3"/>
    </row>
    <row r="53" ht="12.75" customHeight="1">
      <c r="A53" s="3"/>
      <c r="B53" s="3"/>
      <c r="C53" s="3"/>
      <c r="D53" s="3"/>
      <c r="E53" s="3"/>
      <c r="F53" s="3"/>
      <c r="G53" s="3"/>
      <c r="H53" s="3"/>
      <c r="I53" s="3"/>
      <c r="J53" s="3"/>
      <c r="K53" s="3"/>
      <c r="L53" s="3"/>
      <c r="M53" s="3"/>
      <c r="N53" s="3"/>
      <c r="O53" s="3"/>
      <c r="P53" s="3"/>
      <c r="Q53" s="3"/>
      <c r="R53" s="5"/>
      <c r="S53" s="3"/>
      <c r="T53" s="3"/>
      <c r="U53" s="3"/>
      <c r="V53" s="3"/>
      <c r="W53" s="3"/>
      <c r="X53" s="3"/>
      <c r="Y53" s="3"/>
      <c r="Z53" s="3"/>
    </row>
    <row r="54" ht="12.75" customHeight="1">
      <c r="A54" s="3"/>
      <c r="B54" s="3"/>
      <c r="C54" s="3"/>
      <c r="D54" s="3"/>
      <c r="E54" s="3"/>
      <c r="F54" s="3"/>
      <c r="G54" s="3"/>
      <c r="H54" s="3"/>
      <c r="I54" s="3"/>
      <c r="J54" s="3"/>
      <c r="K54" s="3"/>
      <c r="L54" s="3"/>
      <c r="M54" s="3"/>
      <c r="N54" s="3"/>
      <c r="O54" s="3"/>
      <c r="P54" s="3"/>
      <c r="Q54" s="3"/>
      <c r="R54" s="5"/>
      <c r="S54" s="3"/>
      <c r="T54" s="3"/>
      <c r="U54" s="3"/>
      <c r="V54" s="3"/>
      <c r="W54" s="3"/>
      <c r="X54" s="3"/>
      <c r="Y54" s="3"/>
      <c r="Z54" s="3"/>
    </row>
    <row r="55" ht="12.75" customHeight="1">
      <c r="A55" s="3"/>
      <c r="B55" s="3"/>
      <c r="C55" s="3"/>
      <c r="D55" s="3"/>
      <c r="E55" s="3"/>
      <c r="F55" s="3"/>
      <c r="G55" s="3"/>
      <c r="H55" s="3"/>
      <c r="I55" s="3"/>
      <c r="J55" s="3"/>
      <c r="K55" s="3"/>
      <c r="L55" s="3"/>
      <c r="M55" s="3"/>
      <c r="N55" s="3"/>
      <c r="O55" s="3"/>
      <c r="P55" s="3"/>
      <c r="Q55" s="3"/>
      <c r="R55" s="5"/>
      <c r="S55" s="3"/>
      <c r="T55" s="3"/>
      <c r="U55" s="3"/>
      <c r="V55" s="3"/>
      <c r="W55" s="3"/>
      <c r="X55" s="3"/>
      <c r="Y55" s="3"/>
      <c r="Z55" s="3"/>
    </row>
    <row r="56" ht="12.75" customHeight="1">
      <c r="A56" s="3"/>
      <c r="B56" s="3"/>
      <c r="C56" s="3"/>
      <c r="D56" s="3"/>
      <c r="E56" s="3"/>
      <c r="F56" s="3"/>
      <c r="G56" s="3"/>
      <c r="H56" s="3"/>
      <c r="I56" s="3"/>
      <c r="J56" s="3"/>
      <c r="K56" s="3"/>
      <c r="L56" s="3"/>
      <c r="M56" s="3"/>
      <c r="N56" s="3"/>
      <c r="O56" s="3"/>
      <c r="P56" s="3"/>
      <c r="Q56" s="3"/>
      <c r="R56" s="5"/>
      <c r="S56" s="3"/>
      <c r="T56" s="3"/>
      <c r="U56" s="3"/>
      <c r="V56" s="3"/>
      <c r="W56" s="3"/>
      <c r="X56" s="3"/>
      <c r="Y56" s="3"/>
      <c r="Z56" s="3"/>
    </row>
    <row r="57" ht="12.75" customHeight="1">
      <c r="A57" s="3"/>
      <c r="B57" s="3"/>
      <c r="C57" s="3"/>
      <c r="D57" s="3"/>
      <c r="E57" s="3"/>
      <c r="F57" s="3"/>
      <c r="G57" s="3"/>
      <c r="H57" s="3"/>
      <c r="I57" s="3"/>
      <c r="J57" s="3"/>
      <c r="K57" s="3"/>
      <c r="L57" s="3"/>
      <c r="M57" s="3"/>
      <c r="N57" s="3"/>
      <c r="O57" s="3"/>
      <c r="P57" s="3"/>
      <c r="Q57" s="3"/>
      <c r="R57" s="5"/>
      <c r="S57" s="3"/>
      <c r="T57" s="3"/>
      <c r="U57" s="3"/>
      <c r="V57" s="3"/>
      <c r="W57" s="3"/>
      <c r="X57" s="3"/>
      <c r="Y57" s="3"/>
      <c r="Z57" s="3"/>
    </row>
    <row r="58" ht="12.75" customHeight="1">
      <c r="A58" s="3"/>
      <c r="B58" s="3"/>
      <c r="C58" s="3"/>
      <c r="D58" s="3"/>
      <c r="E58" s="3"/>
      <c r="F58" s="3"/>
      <c r="G58" s="3"/>
      <c r="H58" s="3"/>
      <c r="I58" s="3"/>
      <c r="J58" s="3"/>
      <c r="K58" s="3"/>
      <c r="L58" s="3"/>
      <c r="M58" s="3"/>
      <c r="N58" s="3"/>
      <c r="O58" s="3"/>
      <c r="P58" s="3"/>
      <c r="Q58" s="3"/>
      <c r="R58" s="5"/>
      <c r="S58" s="3"/>
      <c r="T58" s="3"/>
      <c r="U58" s="3"/>
      <c r="V58" s="3"/>
      <c r="W58" s="3"/>
      <c r="X58" s="3"/>
      <c r="Y58" s="3"/>
      <c r="Z58" s="3"/>
    </row>
    <row r="59" ht="12.75" customHeight="1">
      <c r="A59" s="3"/>
      <c r="B59" s="3"/>
      <c r="C59" s="3"/>
      <c r="D59" s="3"/>
      <c r="E59" s="3"/>
      <c r="F59" s="3"/>
      <c r="G59" s="3"/>
      <c r="H59" s="3"/>
      <c r="I59" s="3"/>
      <c r="J59" s="3"/>
      <c r="K59" s="3"/>
      <c r="L59" s="3"/>
      <c r="M59" s="3"/>
      <c r="N59" s="3"/>
      <c r="O59" s="3"/>
      <c r="P59" s="3"/>
      <c r="Q59" s="3"/>
      <c r="R59" s="5"/>
      <c r="S59" s="3"/>
      <c r="T59" s="3"/>
      <c r="U59" s="3"/>
      <c r="V59" s="3"/>
      <c r="W59" s="3"/>
      <c r="X59" s="3"/>
      <c r="Y59" s="3"/>
      <c r="Z59" s="3"/>
    </row>
    <row r="60" ht="12.75" customHeight="1">
      <c r="A60" s="3"/>
      <c r="B60" s="3"/>
      <c r="C60" s="3"/>
      <c r="D60" s="3"/>
      <c r="E60" s="3"/>
      <c r="F60" s="3"/>
      <c r="G60" s="3"/>
      <c r="H60" s="3"/>
      <c r="I60" s="3"/>
      <c r="J60" s="3"/>
      <c r="K60" s="3"/>
      <c r="L60" s="3"/>
      <c r="M60" s="3"/>
      <c r="N60" s="3"/>
      <c r="O60" s="3"/>
      <c r="P60" s="3"/>
      <c r="Q60" s="3"/>
      <c r="R60" s="5"/>
      <c r="S60" s="3"/>
      <c r="T60" s="3"/>
      <c r="U60" s="3"/>
      <c r="V60" s="3"/>
      <c r="W60" s="3"/>
      <c r="X60" s="3"/>
      <c r="Y60" s="3"/>
      <c r="Z60" s="3"/>
    </row>
    <row r="61" ht="12.75" customHeight="1">
      <c r="A61" s="3"/>
      <c r="B61" s="3"/>
      <c r="C61" s="3"/>
      <c r="D61" s="3"/>
      <c r="E61" s="3"/>
      <c r="F61" s="3"/>
      <c r="G61" s="3"/>
      <c r="H61" s="3"/>
      <c r="I61" s="3"/>
      <c r="J61" s="3"/>
      <c r="K61" s="3"/>
      <c r="L61" s="3"/>
      <c r="M61" s="3"/>
      <c r="N61" s="3"/>
      <c r="O61" s="3"/>
      <c r="P61" s="3"/>
      <c r="Q61" s="3"/>
      <c r="R61" s="5"/>
      <c r="S61" s="3"/>
      <c r="T61" s="3"/>
      <c r="U61" s="3"/>
      <c r="V61" s="3"/>
      <c r="W61" s="3"/>
      <c r="X61" s="3"/>
      <c r="Y61" s="3"/>
      <c r="Z61" s="3"/>
    </row>
    <row r="62" ht="12.75" customHeight="1">
      <c r="A62" s="3"/>
      <c r="B62" s="3"/>
      <c r="C62" s="3"/>
      <c r="D62" s="3"/>
      <c r="E62" s="3"/>
      <c r="F62" s="3"/>
      <c r="G62" s="3"/>
      <c r="H62" s="3"/>
      <c r="I62" s="3"/>
      <c r="J62" s="3"/>
      <c r="K62" s="3"/>
      <c r="L62" s="3"/>
      <c r="M62" s="3"/>
      <c r="N62" s="3"/>
      <c r="O62" s="3"/>
      <c r="P62" s="3"/>
      <c r="Q62" s="3"/>
      <c r="R62" s="5"/>
      <c r="S62" s="3"/>
      <c r="T62" s="3"/>
      <c r="U62" s="3"/>
      <c r="V62" s="3"/>
      <c r="W62" s="3"/>
      <c r="X62" s="3"/>
      <c r="Y62" s="3"/>
      <c r="Z62" s="3"/>
    </row>
    <row r="63" ht="12.75" customHeight="1">
      <c r="A63" s="3"/>
      <c r="B63" s="3"/>
      <c r="C63" s="3"/>
      <c r="D63" s="3"/>
      <c r="E63" s="3"/>
      <c r="F63" s="3"/>
      <c r="G63" s="3"/>
      <c r="H63" s="3"/>
      <c r="I63" s="3"/>
      <c r="J63" s="3"/>
      <c r="K63" s="3"/>
      <c r="L63" s="3"/>
      <c r="M63" s="3"/>
      <c r="N63" s="3"/>
      <c r="O63" s="3"/>
      <c r="P63" s="3"/>
      <c r="Q63" s="3"/>
      <c r="R63" s="5"/>
      <c r="S63" s="3"/>
      <c r="T63" s="3"/>
      <c r="U63" s="3"/>
      <c r="V63" s="3"/>
      <c r="W63" s="3"/>
      <c r="X63" s="3"/>
      <c r="Y63" s="3"/>
      <c r="Z63" s="3"/>
    </row>
    <row r="64" ht="12.75" customHeight="1">
      <c r="A64" s="3"/>
      <c r="B64" s="3"/>
      <c r="C64" s="3"/>
      <c r="D64" s="3"/>
      <c r="E64" s="3"/>
      <c r="F64" s="3"/>
      <c r="G64" s="3"/>
      <c r="H64" s="3"/>
      <c r="I64" s="3"/>
      <c r="J64" s="3"/>
      <c r="K64" s="3"/>
      <c r="L64" s="3"/>
      <c r="M64" s="3"/>
      <c r="N64" s="3"/>
      <c r="O64" s="3"/>
      <c r="P64" s="3"/>
      <c r="Q64" s="3"/>
      <c r="R64" s="5"/>
      <c r="S64" s="3"/>
      <c r="T64" s="3"/>
      <c r="U64" s="3"/>
      <c r="V64" s="3"/>
      <c r="W64" s="3"/>
      <c r="X64" s="3"/>
      <c r="Y64" s="3"/>
      <c r="Z64" s="3"/>
    </row>
    <row r="65" ht="12.75" customHeight="1">
      <c r="A65" s="3"/>
      <c r="B65" s="3"/>
      <c r="C65" s="3"/>
      <c r="D65" s="3"/>
      <c r="E65" s="3"/>
      <c r="F65" s="3"/>
      <c r="G65" s="3"/>
      <c r="H65" s="3"/>
      <c r="I65" s="3"/>
      <c r="J65" s="3"/>
      <c r="K65" s="3"/>
      <c r="L65" s="3"/>
      <c r="M65" s="3"/>
      <c r="N65" s="3"/>
      <c r="O65" s="3"/>
      <c r="P65" s="3"/>
      <c r="Q65" s="3"/>
      <c r="R65" s="5"/>
      <c r="S65" s="3"/>
      <c r="T65" s="3"/>
      <c r="U65" s="3"/>
      <c r="V65" s="3"/>
      <c r="W65" s="3"/>
      <c r="X65" s="3"/>
      <c r="Y65" s="3"/>
      <c r="Z65" s="3"/>
    </row>
    <row r="66" ht="12.75" customHeight="1">
      <c r="A66" s="3"/>
      <c r="B66" s="3"/>
      <c r="C66" s="3"/>
      <c r="D66" s="3"/>
      <c r="E66" s="3"/>
      <c r="F66" s="3"/>
      <c r="G66" s="3"/>
      <c r="H66" s="3"/>
      <c r="I66" s="3"/>
      <c r="J66" s="3"/>
      <c r="K66" s="3"/>
      <c r="L66" s="3"/>
      <c r="M66" s="3"/>
      <c r="N66" s="3"/>
      <c r="O66" s="3"/>
      <c r="P66" s="3"/>
      <c r="Q66" s="3"/>
      <c r="R66" s="5"/>
      <c r="S66" s="3"/>
      <c r="T66" s="3"/>
      <c r="U66" s="3"/>
      <c r="V66" s="3"/>
      <c r="W66" s="3"/>
      <c r="X66" s="3"/>
      <c r="Y66" s="3"/>
      <c r="Z66" s="3"/>
    </row>
    <row r="67" ht="12.75" customHeight="1">
      <c r="A67" s="3"/>
      <c r="B67" s="3"/>
      <c r="C67" s="3"/>
      <c r="D67" s="3"/>
      <c r="E67" s="3"/>
      <c r="F67" s="3"/>
      <c r="G67" s="3"/>
      <c r="H67" s="3"/>
      <c r="I67" s="3"/>
      <c r="J67" s="3"/>
      <c r="K67" s="3"/>
      <c r="L67" s="3"/>
      <c r="M67" s="3"/>
      <c r="N67" s="3"/>
      <c r="O67" s="3"/>
      <c r="P67" s="3"/>
      <c r="Q67" s="3"/>
      <c r="R67" s="5"/>
      <c r="S67" s="3"/>
      <c r="T67" s="3"/>
      <c r="U67" s="3"/>
      <c r="V67" s="3"/>
      <c r="W67" s="3"/>
      <c r="X67" s="3"/>
      <c r="Y67" s="3"/>
      <c r="Z67" s="3"/>
    </row>
    <row r="68" ht="12.75" customHeight="1">
      <c r="A68" s="3"/>
      <c r="B68" s="3"/>
      <c r="C68" s="3"/>
      <c r="D68" s="3"/>
      <c r="E68" s="3"/>
      <c r="F68" s="3"/>
      <c r="G68" s="3"/>
      <c r="H68" s="3"/>
      <c r="I68" s="3"/>
      <c r="J68" s="3"/>
      <c r="K68" s="3"/>
      <c r="L68" s="3"/>
      <c r="M68" s="3"/>
      <c r="N68" s="3"/>
      <c r="O68" s="3"/>
      <c r="P68" s="3"/>
      <c r="Q68" s="3"/>
      <c r="R68" s="5"/>
      <c r="S68" s="3"/>
      <c r="T68" s="3"/>
      <c r="U68" s="3"/>
      <c r="V68" s="3"/>
      <c r="W68" s="3"/>
      <c r="X68" s="3"/>
      <c r="Y68" s="3"/>
      <c r="Z68" s="3"/>
    </row>
    <row r="69" ht="12.75" customHeight="1">
      <c r="A69" s="3"/>
      <c r="B69" s="3"/>
      <c r="C69" s="3"/>
      <c r="D69" s="3"/>
      <c r="E69" s="3"/>
      <c r="F69" s="3"/>
      <c r="G69" s="3"/>
      <c r="H69" s="3"/>
      <c r="I69" s="3"/>
      <c r="J69" s="3"/>
      <c r="K69" s="3"/>
      <c r="L69" s="3"/>
      <c r="M69" s="3"/>
      <c r="N69" s="3"/>
      <c r="O69" s="3"/>
      <c r="P69" s="3"/>
      <c r="Q69" s="3"/>
      <c r="R69" s="5"/>
      <c r="S69" s="3"/>
      <c r="T69" s="3"/>
      <c r="U69" s="3"/>
      <c r="V69" s="3"/>
      <c r="W69" s="3"/>
      <c r="X69" s="3"/>
      <c r="Y69" s="3"/>
      <c r="Z69" s="3"/>
    </row>
    <row r="70" ht="12.75" customHeight="1">
      <c r="A70" s="3"/>
      <c r="B70" s="3"/>
      <c r="C70" s="3"/>
      <c r="D70" s="3"/>
      <c r="E70" s="3"/>
      <c r="F70" s="3"/>
      <c r="G70" s="3"/>
      <c r="H70" s="3"/>
      <c r="I70" s="3"/>
      <c r="J70" s="3"/>
      <c r="K70" s="3"/>
      <c r="L70" s="3"/>
      <c r="M70" s="3"/>
      <c r="N70" s="3"/>
      <c r="O70" s="3"/>
      <c r="P70" s="3"/>
      <c r="Q70" s="3"/>
      <c r="R70" s="5"/>
      <c r="S70" s="3"/>
      <c r="T70" s="3"/>
      <c r="U70" s="3"/>
      <c r="V70" s="3"/>
      <c r="W70" s="3"/>
      <c r="X70" s="3"/>
      <c r="Y70" s="3"/>
      <c r="Z70" s="3"/>
    </row>
    <row r="71" ht="12.75" customHeight="1">
      <c r="A71" s="3"/>
      <c r="B71" s="3"/>
      <c r="C71" s="3"/>
      <c r="D71" s="3"/>
      <c r="E71" s="3"/>
      <c r="F71" s="3"/>
      <c r="G71" s="3"/>
      <c r="H71" s="3"/>
      <c r="I71" s="3"/>
      <c r="J71" s="3"/>
      <c r="K71" s="3"/>
      <c r="L71" s="3"/>
      <c r="M71" s="3"/>
      <c r="N71" s="3"/>
      <c r="O71" s="3"/>
      <c r="P71" s="3"/>
      <c r="Q71" s="3"/>
      <c r="R71" s="5"/>
      <c r="S71" s="3"/>
      <c r="T71" s="3"/>
      <c r="U71" s="3"/>
      <c r="V71" s="3"/>
      <c r="W71" s="3"/>
      <c r="X71" s="3"/>
      <c r="Y71" s="3"/>
      <c r="Z71" s="3"/>
    </row>
    <row r="72" ht="12.75" customHeight="1">
      <c r="A72" s="3"/>
      <c r="B72" s="3"/>
      <c r="C72" s="3"/>
      <c r="D72" s="3"/>
      <c r="E72" s="3"/>
      <c r="F72" s="3"/>
      <c r="G72" s="3"/>
      <c r="H72" s="3"/>
      <c r="I72" s="3"/>
      <c r="J72" s="3"/>
      <c r="K72" s="3"/>
      <c r="L72" s="3"/>
      <c r="M72" s="3"/>
      <c r="N72" s="3"/>
      <c r="O72" s="3"/>
      <c r="P72" s="3"/>
      <c r="Q72" s="3"/>
      <c r="R72" s="5"/>
      <c r="S72" s="3"/>
      <c r="T72" s="3"/>
      <c r="U72" s="3"/>
      <c r="V72" s="3"/>
      <c r="W72" s="3"/>
      <c r="X72" s="3"/>
      <c r="Y72" s="3"/>
      <c r="Z72" s="3"/>
    </row>
    <row r="73" ht="12.75" customHeight="1">
      <c r="A73" s="3"/>
      <c r="B73" s="3"/>
      <c r="C73" s="3"/>
      <c r="D73" s="3"/>
      <c r="E73" s="3"/>
      <c r="F73" s="3"/>
      <c r="G73" s="3"/>
      <c r="H73" s="3"/>
      <c r="I73" s="3"/>
      <c r="J73" s="3"/>
      <c r="K73" s="3"/>
      <c r="L73" s="3"/>
      <c r="M73" s="3"/>
      <c r="N73" s="3"/>
      <c r="O73" s="3"/>
      <c r="P73" s="3"/>
      <c r="Q73" s="3"/>
      <c r="R73" s="5"/>
      <c r="S73" s="3"/>
      <c r="T73" s="3"/>
      <c r="U73" s="3"/>
      <c r="V73" s="3"/>
      <c r="W73" s="3"/>
      <c r="X73" s="3"/>
      <c r="Y73" s="3"/>
      <c r="Z73" s="3"/>
    </row>
    <row r="74" ht="12.75" customHeight="1">
      <c r="A74" s="3"/>
      <c r="B74" s="3"/>
      <c r="C74" s="3"/>
      <c r="D74" s="3"/>
      <c r="E74" s="3"/>
      <c r="F74" s="3"/>
      <c r="G74" s="3"/>
      <c r="H74" s="3"/>
      <c r="I74" s="3"/>
      <c r="J74" s="3"/>
      <c r="K74" s="3"/>
      <c r="L74" s="3"/>
      <c r="M74" s="3"/>
      <c r="N74" s="3"/>
      <c r="O74" s="3"/>
      <c r="P74" s="3"/>
      <c r="Q74" s="3"/>
      <c r="R74" s="5"/>
      <c r="S74" s="3"/>
      <c r="T74" s="3"/>
      <c r="U74" s="3"/>
      <c r="V74" s="3"/>
      <c r="W74" s="3"/>
      <c r="X74" s="3"/>
      <c r="Y74" s="3"/>
      <c r="Z74" s="3"/>
    </row>
    <row r="75" ht="12.75" customHeight="1">
      <c r="A75" s="3"/>
      <c r="B75" s="3"/>
      <c r="C75" s="3"/>
      <c r="D75" s="3"/>
      <c r="E75" s="3"/>
      <c r="F75" s="3"/>
      <c r="G75" s="3"/>
      <c r="H75" s="3"/>
      <c r="I75" s="3"/>
      <c r="J75" s="3"/>
      <c r="K75" s="3"/>
      <c r="L75" s="3"/>
      <c r="M75" s="3"/>
      <c r="N75" s="3"/>
      <c r="O75" s="3"/>
      <c r="P75" s="3"/>
      <c r="Q75" s="3"/>
      <c r="R75" s="5"/>
      <c r="S75" s="3"/>
      <c r="T75" s="3"/>
      <c r="U75" s="3"/>
      <c r="V75" s="3"/>
      <c r="W75" s="3"/>
      <c r="X75" s="3"/>
      <c r="Y75" s="3"/>
      <c r="Z75" s="3"/>
    </row>
    <row r="76" ht="12.75" customHeight="1">
      <c r="A76" s="3"/>
      <c r="B76" s="3"/>
      <c r="C76" s="3"/>
      <c r="D76" s="3"/>
      <c r="E76" s="3"/>
      <c r="F76" s="3"/>
      <c r="G76" s="3"/>
      <c r="H76" s="3"/>
      <c r="I76" s="3"/>
      <c r="J76" s="3"/>
      <c r="K76" s="3"/>
      <c r="L76" s="3"/>
      <c r="M76" s="3"/>
      <c r="N76" s="3"/>
      <c r="O76" s="3"/>
      <c r="P76" s="3"/>
      <c r="Q76" s="3"/>
      <c r="R76" s="5"/>
      <c r="S76" s="3"/>
      <c r="T76" s="3"/>
      <c r="U76" s="3"/>
      <c r="V76" s="3"/>
      <c r="W76" s="3"/>
      <c r="X76" s="3"/>
      <c r="Y76" s="3"/>
      <c r="Z76" s="3"/>
    </row>
    <row r="77" ht="12.75" customHeight="1">
      <c r="A77" s="3"/>
      <c r="B77" s="3"/>
      <c r="C77" s="3"/>
      <c r="D77" s="3"/>
      <c r="E77" s="3"/>
      <c r="F77" s="3"/>
      <c r="G77" s="3"/>
      <c r="H77" s="3"/>
      <c r="I77" s="3"/>
      <c r="J77" s="3"/>
      <c r="K77" s="3"/>
      <c r="L77" s="3"/>
      <c r="M77" s="3"/>
      <c r="N77" s="3"/>
      <c r="O77" s="3"/>
      <c r="P77" s="3"/>
      <c r="Q77" s="3"/>
      <c r="R77" s="5"/>
      <c r="S77" s="3"/>
      <c r="T77" s="3"/>
      <c r="U77" s="3"/>
      <c r="V77" s="3"/>
      <c r="W77" s="3"/>
      <c r="X77" s="3"/>
      <c r="Y77" s="3"/>
      <c r="Z77" s="3"/>
    </row>
    <row r="78" ht="12.75" customHeight="1">
      <c r="A78" s="3"/>
      <c r="B78" s="3"/>
      <c r="C78" s="3"/>
      <c r="D78" s="3"/>
      <c r="E78" s="3"/>
      <c r="F78" s="3"/>
      <c r="G78" s="3"/>
      <c r="H78" s="3"/>
      <c r="I78" s="3"/>
      <c r="J78" s="3"/>
      <c r="K78" s="3"/>
      <c r="L78" s="3"/>
      <c r="M78" s="3"/>
      <c r="N78" s="3"/>
      <c r="O78" s="3"/>
      <c r="P78" s="3"/>
      <c r="Q78" s="3"/>
      <c r="R78" s="5"/>
      <c r="S78" s="3"/>
      <c r="T78" s="3"/>
      <c r="U78" s="3"/>
      <c r="V78" s="3"/>
      <c r="W78" s="3"/>
      <c r="X78" s="3"/>
      <c r="Y78" s="3"/>
      <c r="Z78" s="3"/>
    </row>
    <row r="79" ht="12.75" customHeight="1">
      <c r="A79" s="3"/>
      <c r="B79" s="3"/>
      <c r="C79" s="3"/>
      <c r="D79" s="3"/>
      <c r="E79" s="3"/>
      <c r="F79" s="3"/>
      <c r="G79" s="3"/>
      <c r="H79" s="3"/>
      <c r="I79" s="3"/>
      <c r="J79" s="3"/>
      <c r="K79" s="3"/>
      <c r="L79" s="3"/>
      <c r="M79" s="3"/>
      <c r="N79" s="3"/>
      <c r="O79" s="3"/>
      <c r="P79" s="3"/>
      <c r="Q79" s="3"/>
      <c r="R79" s="5"/>
      <c r="S79" s="3"/>
      <c r="T79" s="3"/>
      <c r="U79" s="3"/>
      <c r="V79" s="3"/>
      <c r="W79" s="3"/>
      <c r="X79" s="3"/>
      <c r="Y79" s="3"/>
      <c r="Z79" s="3"/>
    </row>
    <row r="80" ht="12.75" customHeight="1">
      <c r="A80" s="3"/>
      <c r="B80" s="3"/>
      <c r="C80" s="3"/>
      <c r="D80" s="3"/>
      <c r="E80" s="3"/>
      <c r="F80" s="3"/>
      <c r="G80" s="3"/>
      <c r="H80" s="3"/>
      <c r="I80" s="3"/>
      <c r="J80" s="3"/>
      <c r="K80" s="3"/>
      <c r="L80" s="3"/>
      <c r="M80" s="3"/>
      <c r="N80" s="3"/>
      <c r="O80" s="3"/>
      <c r="P80" s="3"/>
      <c r="Q80" s="3"/>
      <c r="R80" s="5"/>
      <c r="S80" s="3"/>
      <c r="T80" s="3"/>
      <c r="U80" s="3"/>
      <c r="V80" s="3"/>
      <c r="W80" s="3"/>
      <c r="X80" s="3"/>
      <c r="Y80" s="3"/>
      <c r="Z80" s="3"/>
    </row>
    <row r="81" ht="12.75" customHeight="1">
      <c r="A81" s="3"/>
      <c r="B81" s="3"/>
      <c r="C81" s="3"/>
      <c r="D81" s="3"/>
      <c r="E81" s="3"/>
      <c r="F81" s="3"/>
      <c r="G81" s="3"/>
      <c r="H81" s="3"/>
      <c r="I81" s="3"/>
      <c r="J81" s="3"/>
      <c r="K81" s="3"/>
      <c r="L81" s="3"/>
      <c r="M81" s="3"/>
      <c r="N81" s="3"/>
      <c r="O81" s="3"/>
      <c r="P81" s="3"/>
      <c r="Q81" s="3"/>
      <c r="R81" s="5"/>
      <c r="S81" s="3"/>
      <c r="T81" s="3"/>
      <c r="U81" s="3"/>
      <c r="V81" s="3"/>
      <c r="W81" s="3"/>
      <c r="X81" s="3"/>
      <c r="Y81" s="3"/>
      <c r="Z81" s="3"/>
    </row>
    <row r="82" ht="12.75" customHeight="1">
      <c r="A82" s="3"/>
      <c r="B82" s="3"/>
      <c r="C82" s="3"/>
      <c r="D82" s="3"/>
      <c r="E82" s="3"/>
      <c r="F82" s="3"/>
      <c r="G82" s="3"/>
      <c r="H82" s="3"/>
      <c r="I82" s="3"/>
      <c r="J82" s="3"/>
      <c r="K82" s="3"/>
      <c r="L82" s="3"/>
      <c r="M82" s="3"/>
      <c r="N82" s="3"/>
      <c r="O82" s="3"/>
      <c r="P82" s="3"/>
      <c r="Q82" s="3"/>
      <c r="R82" s="5"/>
      <c r="S82" s="3"/>
      <c r="T82" s="3"/>
      <c r="U82" s="3"/>
      <c r="V82" s="3"/>
      <c r="W82" s="3"/>
      <c r="X82" s="3"/>
      <c r="Y82" s="3"/>
      <c r="Z82" s="3"/>
    </row>
    <row r="83" ht="12.75" customHeight="1">
      <c r="A83" s="3"/>
      <c r="B83" s="3"/>
      <c r="C83" s="3"/>
      <c r="D83" s="3"/>
      <c r="E83" s="3"/>
      <c r="F83" s="3"/>
      <c r="G83" s="3"/>
      <c r="H83" s="3"/>
      <c r="I83" s="3"/>
      <c r="J83" s="3"/>
      <c r="K83" s="3"/>
      <c r="L83" s="3"/>
      <c r="M83" s="3"/>
      <c r="N83" s="3"/>
      <c r="O83" s="3"/>
      <c r="P83" s="3"/>
      <c r="Q83" s="3"/>
      <c r="R83" s="5"/>
      <c r="S83" s="3"/>
      <c r="T83" s="3"/>
      <c r="U83" s="3"/>
      <c r="V83" s="3"/>
      <c r="W83" s="3"/>
      <c r="X83" s="3"/>
      <c r="Y83" s="3"/>
      <c r="Z83" s="3"/>
    </row>
    <row r="84" ht="12.75" customHeight="1">
      <c r="A84" s="3"/>
      <c r="B84" s="3"/>
      <c r="C84" s="3"/>
      <c r="D84" s="3"/>
      <c r="E84" s="3"/>
      <c r="F84" s="3"/>
      <c r="G84" s="3"/>
      <c r="H84" s="3"/>
      <c r="I84" s="3"/>
      <c r="J84" s="3"/>
      <c r="K84" s="3"/>
      <c r="L84" s="3"/>
      <c r="M84" s="3"/>
      <c r="N84" s="3"/>
      <c r="O84" s="3"/>
      <c r="P84" s="3"/>
      <c r="Q84" s="3"/>
      <c r="R84" s="5"/>
      <c r="S84" s="3"/>
      <c r="T84" s="3"/>
      <c r="U84" s="3"/>
      <c r="V84" s="3"/>
      <c r="W84" s="3"/>
      <c r="X84" s="3"/>
      <c r="Y84" s="3"/>
      <c r="Z84" s="3"/>
    </row>
    <row r="85" ht="12.75" customHeight="1">
      <c r="A85" s="3"/>
      <c r="B85" s="3"/>
      <c r="C85" s="3"/>
      <c r="D85" s="3"/>
      <c r="E85" s="3"/>
      <c r="F85" s="3"/>
      <c r="G85" s="3"/>
      <c r="H85" s="3"/>
      <c r="I85" s="3"/>
      <c r="J85" s="3"/>
      <c r="K85" s="3"/>
      <c r="L85" s="3"/>
      <c r="M85" s="3"/>
      <c r="N85" s="3"/>
      <c r="O85" s="3"/>
      <c r="P85" s="3"/>
      <c r="Q85" s="3"/>
      <c r="R85" s="5"/>
      <c r="S85" s="3"/>
      <c r="T85" s="3"/>
      <c r="U85" s="3"/>
      <c r="V85" s="3"/>
      <c r="W85" s="3"/>
      <c r="X85" s="3"/>
      <c r="Y85" s="3"/>
      <c r="Z85" s="3"/>
    </row>
    <row r="86" ht="12.75" customHeight="1">
      <c r="A86" s="3"/>
      <c r="B86" s="3"/>
      <c r="C86" s="3"/>
      <c r="D86" s="3"/>
      <c r="E86" s="3"/>
      <c r="F86" s="3"/>
      <c r="G86" s="3"/>
      <c r="H86" s="3"/>
      <c r="I86" s="3"/>
      <c r="J86" s="3"/>
      <c r="K86" s="3"/>
      <c r="L86" s="3"/>
      <c r="M86" s="3"/>
      <c r="N86" s="3"/>
      <c r="O86" s="3"/>
      <c r="P86" s="3"/>
      <c r="Q86" s="3"/>
      <c r="R86" s="5"/>
      <c r="S86" s="3"/>
      <c r="T86" s="3"/>
      <c r="U86" s="3"/>
      <c r="V86" s="3"/>
      <c r="W86" s="3"/>
      <c r="X86" s="3"/>
      <c r="Y86" s="3"/>
      <c r="Z86" s="3"/>
    </row>
    <row r="87" ht="12.75" customHeight="1">
      <c r="A87" s="3"/>
      <c r="B87" s="3"/>
      <c r="C87" s="3"/>
      <c r="D87" s="3"/>
      <c r="E87" s="3"/>
      <c r="F87" s="3"/>
      <c r="G87" s="3"/>
      <c r="H87" s="3"/>
      <c r="I87" s="3"/>
      <c r="J87" s="3"/>
      <c r="K87" s="3"/>
      <c r="L87" s="3"/>
      <c r="M87" s="3"/>
      <c r="N87" s="3"/>
      <c r="O87" s="3"/>
      <c r="P87" s="3"/>
      <c r="Q87" s="3"/>
      <c r="R87" s="5"/>
      <c r="S87" s="3"/>
      <c r="T87" s="3"/>
      <c r="U87" s="3"/>
      <c r="V87" s="3"/>
      <c r="W87" s="3"/>
      <c r="X87" s="3"/>
      <c r="Y87" s="3"/>
      <c r="Z87" s="3"/>
    </row>
    <row r="88" ht="12.75" customHeight="1">
      <c r="A88" s="3"/>
      <c r="B88" s="3"/>
      <c r="C88" s="3"/>
      <c r="D88" s="3"/>
      <c r="E88" s="3"/>
      <c r="F88" s="3"/>
      <c r="G88" s="3"/>
      <c r="H88" s="3"/>
      <c r="I88" s="3"/>
      <c r="J88" s="3"/>
      <c r="K88" s="3"/>
      <c r="L88" s="3"/>
      <c r="M88" s="3"/>
      <c r="N88" s="3"/>
      <c r="O88" s="3"/>
      <c r="P88" s="3"/>
      <c r="Q88" s="3"/>
      <c r="R88" s="5"/>
      <c r="S88" s="3"/>
      <c r="T88" s="3"/>
      <c r="U88" s="3"/>
      <c r="V88" s="3"/>
      <c r="W88" s="3"/>
      <c r="X88" s="3"/>
      <c r="Y88" s="3"/>
      <c r="Z88" s="3"/>
    </row>
    <row r="89" ht="12.75" customHeight="1">
      <c r="A89" s="3"/>
      <c r="B89" s="3"/>
      <c r="C89" s="3"/>
      <c r="D89" s="3"/>
      <c r="E89" s="3"/>
      <c r="F89" s="3"/>
      <c r="G89" s="3"/>
      <c r="H89" s="3"/>
      <c r="I89" s="3"/>
      <c r="J89" s="3"/>
      <c r="K89" s="3"/>
      <c r="L89" s="3"/>
      <c r="M89" s="3"/>
      <c r="N89" s="3"/>
      <c r="O89" s="3"/>
      <c r="P89" s="3"/>
      <c r="Q89" s="3"/>
      <c r="R89" s="5"/>
      <c r="S89" s="3"/>
      <c r="T89" s="3"/>
      <c r="U89" s="3"/>
      <c r="V89" s="3"/>
      <c r="W89" s="3"/>
      <c r="X89" s="3"/>
      <c r="Y89" s="3"/>
      <c r="Z89" s="3"/>
    </row>
    <row r="90" ht="12.75" customHeight="1">
      <c r="A90" s="3"/>
      <c r="B90" s="3"/>
      <c r="C90" s="3"/>
      <c r="D90" s="3"/>
      <c r="E90" s="3"/>
      <c r="F90" s="3"/>
      <c r="G90" s="3"/>
      <c r="H90" s="3"/>
      <c r="I90" s="3"/>
      <c r="J90" s="3"/>
      <c r="K90" s="3"/>
      <c r="L90" s="3"/>
      <c r="M90" s="3"/>
      <c r="N90" s="3"/>
      <c r="O90" s="3"/>
      <c r="P90" s="3"/>
      <c r="Q90" s="3"/>
      <c r="R90" s="5"/>
      <c r="S90" s="3"/>
      <c r="T90" s="3"/>
      <c r="U90" s="3"/>
      <c r="V90" s="3"/>
      <c r="W90" s="3"/>
      <c r="X90" s="3"/>
      <c r="Y90" s="3"/>
      <c r="Z90" s="3"/>
    </row>
    <row r="91" ht="12.75" customHeight="1">
      <c r="A91" s="3"/>
      <c r="B91" s="3"/>
      <c r="C91" s="3"/>
      <c r="D91" s="3"/>
      <c r="E91" s="3"/>
      <c r="F91" s="3"/>
      <c r="G91" s="3"/>
      <c r="H91" s="3"/>
      <c r="I91" s="3"/>
      <c r="J91" s="3"/>
      <c r="K91" s="3"/>
      <c r="L91" s="3"/>
      <c r="M91" s="3"/>
      <c r="N91" s="3"/>
      <c r="O91" s="3"/>
      <c r="P91" s="3"/>
      <c r="Q91" s="3"/>
      <c r="R91" s="5"/>
      <c r="S91" s="3"/>
      <c r="T91" s="3"/>
      <c r="U91" s="3"/>
      <c r="V91" s="3"/>
      <c r="W91" s="3"/>
      <c r="X91" s="3"/>
      <c r="Y91" s="3"/>
      <c r="Z91" s="3"/>
    </row>
    <row r="92" ht="12.75" customHeight="1">
      <c r="A92" s="3"/>
      <c r="B92" s="3"/>
      <c r="C92" s="3"/>
      <c r="D92" s="3"/>
      <c r="E92" s="3"/>
      <c r="F92" s="3"/>
      <c r="G92" s="3"/>
      <c r="H92" s="3"/>
      <c r="I92" s="3"/>
      <c r="J92" s="3"/>
      <c r="K92" s="3"/>
      <c r="L92" s="3"/>
      <c r="M92" s="3"/>
      <c r="N92" s="3"/>
      <c r="O92" s="3"/>
      <c r="P92" s="3"/>
      <c r="Q92" s="3"/>
      <c r="R92" s="5"/>
      <c r="S92" s="3"/>
      <c r="T92" s="3"/>
      <c r="U92" s="3"/>
      <c r="V92" s="3"/>
      <c r="W92" s="3"/>
      <c r="X92" s="3"/>
      <c r="Y92" s="3"/>
      <c r="Z92" s="3"/>
    </row>
    <row r="93" ht="12.75" customHeight="1">
      <c r="A93" s="3"/>
      <c r="B93" s="3"/>
      <c r="C93" s="3"/>
      <c r="D93" s="3"/>
      <c r="E93" s="3"/>
      <c r="F93" s="3"/>
      <c r="G93" s="3"/>
      <c r="H93" s="3"/>
      <c r="I93" s="3"/>
      <c r="J93" s="3"/>
      <c r="K93" s="3"/>
      <c r="L93" s="3"/>
      <c r="M93" s="3"/>
      <c r="N93" s="3"/>
      <c r="O93" s="3"/>
      <c r="P93" s="3"/>
      <c r="Q93" s="3"/>
      <c r="R93" s="5"/>
      <c r="S93" s="3"/>
      <c r="T93" s="3"/>
      <c r="U93" s="3"/>
      <c r="V93" s="3"/>
      <c r="W93" s="3"/>
      <c r="X93" s="3"/>
      <c r="Y93" s="3"/>
      <c r="Z93" s="3"/>
    </row>
    <row r="94" ht="12.75" customHeight="1">
      <c r="A94" s="3"/>
      <c r="B94" s="3"/>
      <c r="C94" s="3"/>
      <c r="D94" s="3"/>
      <c r="E94" s="3"/>
      <c r="F94" s="3"/>
      <c r="G94" s="3"/>
      <c r="H94" s="3"/>
      <c r="I94" s="3"/>
      <c r="J94" s="3"/>
      <c r="K94" s="3"/>
      <c r="L94" s="3"/>
      <c r="M94" s="3"/>
      <c r="N94" s="3"/>
      <c r="O94" s="3"/>
      <c r="P94" s="3"/>
      <c r="Q94" s="3"/>
      <c r="R94" s="5"/>
      <c r="S94" s="3"/>
      <c r="T94" s="3"/>
      <c r="U94" s="3"/>
      <c r="V94" s="3"/>
      <c r="W94" s="3"/>
      <c r="X94" s="3"/>
      <c r="Y94" s="3"/>
      <c r="Z94" s="3"/>
    </row>
    <row r="95" ht="12.75" customHeight="1">
      <c r="A95" s="3"/>
      <c r="B95" s="3"/>
      <c r="C95" s="3"/>
      <c r="D95" s="3"/>
      <c r="E95" s="3"/>
      <c r="F95" s="3"/>
      <c r="G95" s="3"/>
      <c r="H95" s="3"/>
      <c r="I95" s="3"/>
      <c r="J95" s="3"/>
      <c r="K95" s="3"/>
      <c r="L95" s="3"/>
      <c r="M95" s="3"/>
      <c r="N95" s="3"/>
      <c r="O95" s="3"/>
      <c r="P95" s="3"/>
      <c r="Q95" s="3"/>
      <c r="R95" s="5"/>
      <c r="S95" s="3"/>
      <c r="T95" s="3"/>
      <c r="U95" s="3"/>
      <c r="V95" s="3"/>
      <c r="W95" s="3"/>
      <c r="X95" s="3"/>
      <c r="Y95" s="3"/>
      <c r="Z95" s="3"/>
    </row>
    <row r="96" ht="12.75" customHeight="1">
      <c r="A96" s="3"/>
      <c r="B96" s="3"/>
      <c r="C96" s="3"/>
      <c r="D96" s="3"/>
      <c r="E96" s="3"/>
      <c r="F96" s="3"/>
      <c r="G96" s="3"/>
      <c r="H96" s="3"/>
      <c r="I96" s="3"/>
      <c r="J96" s="3"/>
      <c r="K96" s="3"/>
      <c r="L96" s="3"/>
      <c r="M96" s="3"/>
      <c r="N96" s="3"/>
      <c r="O96" s="3"/>
      <c r="P96" s="3"/>
      <c r="Q96" s="3"/>
      <c r="R96" s="5"/>
      <c r="S96" s="3"/>
      <c r="T96" s="3"/>
      <c r="U96" s="3"/>
      <c r="V96" s="3"/>
      <c r="W96" s="3"/>
      <c r="X96" s="3"/>
      <c r="Y96" s="3"/>
      <c r="Z96" s="3"/>
    </row>
    <row r="97" ht="12.75" customHeight="1">
      <c r="A97" s="3"/>
      <c r="B97" s="3"/>
      <c r="C97" s="3"/>
      <c r="D97" s="3"/>
      <c r="E97" s="3"/>
      <c r="F97" s="3"/>
      <c r="G97" s="3"/>
      <c r="H97" s="3"/>
      <c r="I97" s="3"/>
      <c r="J97" s="3"/>
      <c r="K97" s="3"/>
      <c r="L97" s="3"/>
      <c r="M97" s="3"/>
      <c r="N97" s="3"/>
      <c r="O97" s="3"/>
      <c r="P97" s="3"/>
      <c r="Q97" s="3"/>
      <c r="R97" s="5"/>
      <c r="S97" s="3"/>
      <c r="T97" s="3"/>
      <c r="U97" s="3"/>
      <c r="V97" s="3"/>
      <c r="W97" s="3"/>
      <c r="X97" s="3"/>
      <c r="Y97" s="3"/>
      <c r="Z97" s="3"/>
    </row>
    <row r="98" ht="12.75" customHeight="1">
      <c r="A98" s="3"/>
      <c r="B98" s="3"/>
      <c r="C98" s="3"/>
      <c r="D98" s="3"/>
      <c r="E98" s="3"/>
      <c r="F98" s="3"/>
      <c r="G98" s="3"/>
      <c r="H98" s="3"/>
      <c r="I98" s="3"/>
      <c r="J98" s="3"/>
      <c r="K98" s="3"/>
      <c r="L98" s="3"/>
      <c r="M98" s="3"/>
      <c r="N98" s="3"/>
      <c r="O98" s="3"/>
      <c r="P98" s="3"/>
      <c r="Q98" s="3"/>
      <c r="R98" s="5"/>
      <c r="S98" s="3"/>
      <c r="T98" s="3"/>
      <c r="U98" s="3"/>
      <c r="V98" s="3"/>
      <c r="W98" s="3"/>
      <c r="X98" s="3"/>
      <c r="Y98" s="3"/>
      <c r="Z98" s="3"/>
    </row>
    <row r="99" ht="12.75" customHeight="1">
      <c r="A99" s="3"/>
      <c r="B99" s="3"/>
      <c r="C99" s="3"/>
      <c r="D99" s="3"/>
      <c r="E99" s="3"/>
      <c r="F99" s="3"/>
      <c r="G99" s="3"/>
      <c r="H99" s="3"/>
      <c r="I99" s="3"/>
      <c r="J99" s="3"/>
      <c r="K99" s="3"/>
      <c r="L99" s="3"/>
      <c r="M99" s="3"/>
      <c r="N99" s="3"/>
      <c r="O99" s="3"/>
      <c r="P99" s="3"/>
      <c r="Q99" s="3"/>
      <c r="R99" s="5"/>
      <c r="S99" s="3"/>
      <c r="T99" s="3"/>
      <c r="U99" s="3"/>
      <c r="V99" s="3"/>
      <c r="W99" s="3"/>
      <c r="X99" s="3"/>
      <c r="Y99" s="3"/>
      <c r="Z99" s="3"/>
    </row>
    <row r="100" ht="12.75" customHeight="1">
      <c r="A100" s="3"/>
      <c r="B100" s="3"/>
      <c r="C100" s="3"/>
      <c r="D100" s="3"/>
      <c r="E100" s="3"/>
      <c r="F100" s="3"/>
      <c r="G100" s="3"/>
      <c r="H100" s="3"/>
      <c r="I100" s="3"/>
      <c r="J100" s="3"/>
      <c r="K100" s="3"/>
      <c r="L100" s="3"/>
      <c r="M100" s="3"/>
      <c r="N100" s="3"/>
      <c r="O100" s="3"/>
      <c r="P100" s="3"/>
      <c r="Q100" s="3"/>
      <c r="R100" s="5"/>
      <c r="S100" s="3"/>
      <c r="T100" s="3"/>
      <c r="U100" s="3"/>
      <c r="V100" s="3"/>
      <c r="W100" s="3"/>
      <c r="X100" s="3"/>
      <c r="Y100" s="3"/>
      <c r="Z100" s="3"/>
    </row>
    <row r="101" ht="12.75" customHeight="1">
      <c r="A101" s="3"/>
      <c r="B101" s="3"/>
      <c r="C101" s="3"/>
      <c r="D101" s="3"/>
      <c r="E101" s="3"/>
      <c r="F101" s="3"/>
      <c r="G101" s="3"/>
      <c r="H101" s="3"/>
      <c r="I101" s="3"/>
      <c r="J101" s="3"/>
      <c r="K101" s="3"/>
      <c r="L101" s="3"/>
      <c r="M101" s="3"/>
      <c r="N101" s="3"/>
      <c r="O101" s="3"/>
      <c r="P101" s="3"/>
      <c r="Q101" s="3"/>
      <c r="R101" s="5"/>
      <c r="S101" s="3"/>
      <c r="T101" s="3"/>
      <c r="U101" s="3"/>
      <c r="V101" s="3"/>
      <c r="W101" s="3"/>
      <c r="X101" s="3"/>
      <c r="Y101" s="3"/>
      <c r="Z101" s="3"/>
    </row>
    <row r="102" ht="12.75" customHeight="1">
      <c r="A102" s="3"/>
      <c r="B102" s="3"/>
      <c r="C102" s="3"/>
      <c r="D102" s="3"/>
      <c r="E102" s="3"/>
      <c r="F102" s="3"/>
      <c r="G102" s="3"/>
      <c r="H102" s="3"/>
      <c r="I102" s="3"/>
      <c r="J102" s="3"/>
      <c r="K102" s="3"/>
      <c r="L102" s="3"/>
      <c r="M102" s="3"/>
      <c r="N102" s="3"/>
      <c r="O102" s="3"/>
      <c r="P102" s="3"/>
      <c r="Q102" s="3"/>
      <c r="R102" s="5"/>
      <c r="S102" s="3"/>
      <c r="T102" s="3"/>
      <c r="U102" s="3"/>
      <c r="V102" s="3"/>
      <c r="W102" s="3"/>
      <c r="X102" s="3"/>
      <c r="Y102" s="3"/>
      <c r="Z102" s="3"/>
    </row>
    <row r="103" ht="12.75" customHeight="1">
      <c r="A103" s="3"/>
      <c r="B103" s="3"/>
      <c r="C103" s="3"/>
      <c r="D103" s="3"/>
      <c r="E103" s="3"/>
      <c r="F103" s="3"/>
      <c r="G103" s="3"/>
      <c r="H103" s="3"/>
      <c r="I103" s="3"/>
      <c r="J103" s="3"/>
      <c r="K103" s="3"/>
      <c r="L103" s="3"/>
      <c r="M103" s="3"/>
      <c r="N103" s="3"/>
      <c r="O103" s="3"/>
      <c r="P103" s="3"/>
      <c r="Q103" s="3"/>
      <c r="R103" s="5"/>
      <c r="S103" s="3"/>
      <c r="T103" s="3"/>
      <c r="U103" s="3"/>
      <c r="V103" s="3"/>
      <c r="W103" s="3"/>
      <c r="X103" s="3"/>
      <c r="Y103" s="3"/>
      <c r="Z103" s="3"/>
    </row>
    <row r="104" ht="12.75" customHeight="1">
      <c r="A104" s="3"/>
      <c r="B104" s="3"/>
      <c r="C104" s="3"/>
      <c r="D104" s="3"/>
      <c r="E104" s="3"/>
      <c r="F104" s="3"/>
      <c r="G104" s="3"/>
      <c r="H104" s="3"/>
      <c r="I104" s="3"/>
      <c r="J104" s="3"/>
      <c r="K104" s="3"/>
      <c r="L104" s="3"/>
      <c r="M104" s="3"/>
      <c r="N104" s="3"/>
      <c r="O104" s="3"/>
      <c r="P104" s="3"/>
      <c r="Q104" s="3"/>
      <c r="R104" s="5"/>
      <c r="S104" s="3"/>
      <c r="T104" s="3"/>
      <c r="U104" s="3"/>
      <c r="V104" s="3"/>
      <c r="W104" s="3"/>
      <c r="X104" s="3"/>
      <c r="Y104" s="3"/>
      <c r="Z104" s="3"/>
    </row>
    <row r="105" ht="12.75" customHeight="1">
      <c r="A105" s="3"/>
      <c r="B105" s="3"/>
      <c r="C105" s="3"/>
      <c r="D105" s="3"/>
      <c r="E105" s="3"/>
      <c r="F105" s="3"/>
      <c r="G105" s="3"/>
      <c r="H105" s="3"/>
      <c r="I105" s="3"/>
      <c r="J105" s="3"/>
      <c r="K105" s="3"/>
      <c r="L105" s="3"/>
      <c r="M105" s="3"/>
      <c r="N105" s="3"/>
      <c r="O105" s="3"/>
      <c r="P105" s="3"/>
      <c r="Q105" s="3"/>
      <c r="R105" s="5"/>
      <c r="S105" s="3"/>
      <c r="T105" s="3"/>
      <c r="U105" s="3"/>
      <c r="V105" s="3"/>
      <c r="W105" s="3"/>
      <c r="X105" s="3"/>
      <c r="Y105" s="3"/>
      <c r="Z105" s="3"/>
    </row>
    <row r="106" ht="12.75" customHeight="1">
      <c r="A106" s="3"/>
      <c r="B106" s="3"/>
      <c r="C106" s="3"/>
      <c r="D106" s="3"/>
      <c r="E106" s="3"/>
      <c r="F106" s="3"/>
      <c r="G106" s="3"/>
      <c r="H106" s="3"/>
      <c r="I106" s="3"/>
      <c r="J106" s="3"/>
      <c r="K106" s="3"/>
      <c r="L106" s="3"/>
      <c r="M106" s="3"/>
      <c r="N106" s="3"/>
      <c r="O106" s="3"/>
      <c r="P106" s="3"/>
      <c r="Q106" s="3"/>
      <c r="R106" s="5"/>
      <c r="S106" s="3"/>
      <c r="T106" s="3"/>
      <c r="U106" s="3"/>
      <c r="V106" s="3"/>
      <c r="W106" s="3"/>
      <c r="X106" s="3"/>
      <c r="Y106" s="3"/>
      <c r="Z106" s="3"/>
    </row>
    <row r="107" ht="12.75" customHeight="1">
      <c r="A107" s="3"/>
      <c r="B107" s="3"/>
      <c r="C107" s="3"/>
      <c r="D107" s="3"/>
      <c r="E107" s="3"/>
      <c r="F107" s="3"/>
      <c r="G107" s="3"/>
      <c r="H107" s="3"/>
      <c r="I107" s="3"/>
      <c r="J107" s="3"/>
      <c r="K107" s="3"/>
      <c r="L107" s="3"/>
      <c r="M107" s="3"/>
      <c r="N107" s="3"/>
      <c r="O107" s="3"/>
      <c r="P107" s="3"/>
      <c r="Q107" s="3"/>
      <c r="R107" s="5"/>
      <c r="S107" s="3"/>
      <c r="T107" s="3"/>
      <c r="U107" s="3"/>
      <c r="V107" s="3"/>
      <c r="W107" s="3"/>
      <c r="X107" s="3"/>
      <c r="Y107" s="3"/>
      <c r="Z107" s="3"/>
    </row>
    <row r="108" ht="12.75" customHeight="1">
      <c r="A108" s="3"/>
      <c r="B108" s="3"/>
      <c r="C108" s="3"/>
      <c r="D108" s="3"/>
      <c r="E108" s="3"/>
      <c r="F108" s="3"/>
      <c r="G108" s="3"/>
      <c r="H108" s="3"/>
      <c r="I108" s="3"/>
      <c r="J108" s="3"/>
      <c r="K108" s="3"/>
      <c r="L108" s="3"/>
      <c r="M108" s="3"/>
      <c r="N108" s="3"/>
      <c r="O108" s="3"/>
      <c r="P108" s="3"/>
      <c r="Q108" s="3"/>
      <c r="R108" s="5"/>
      <c r="S108" s="3"/>
      <c r="T108" s="3"/>
      <c r="U108" s="3"/>
      <c r="V108" s="3"/>
      <c r="W108" s="3"/>
      <c r="X108" s="3"/>
      <c r="Y108" s="3"/>
      <c r="Z108" s="3"/>
    </row>
    <row r="109" ht="12.75" customHeight="1">
      <c r="A109" s="3"/>
      <c r="B109" s="3"/>
      <c r="C109" s="3"/>
      <c r="D109" s="3"/>
      <c r="E109" s="3"/>
      <c r="F109" s="3"/>
      <c r="G109" s="3"/>
      <c r="H109" s="3"/>
      <c r="I109" s="3"/>
      <c r="J109" s="3"/>
      <c r="K109" s="3"/>
      <c r="L109" s="3"/>
      <c r="M109" s="3"/>
      <c r="N109" s="3"/>
      <c r="O109" s="3"/>
      <c r="P109" s="3"/>
      <c r="Q109" s="3"/>
      <c r="R109" s="5"/>
      <c r="S109" s="3"/>
      <c r="T109" s="3"/>
      <c r="U109" s="3"/>
      <c r="V109" s="3"/>
      <c r="W109" s="3"/>
      <c r="X109" s="3"/>
      <c r="Y109" s="3"/>
      <c r="Z109" s="3"/>
    </row>
    <row r="110" ht="12.75" customHeight="1">
      <c r="A110" s="3"/>
      <c r="B110" s="3"/>
      <c r="C110" s="3"/>
      <c r="D110" s="3"/>
      <c r="E110" s="3"/>
      <c r="F110" s="3"/>
      <c r="G110" s="3"/>
      <c r="H110" s="3"/>
      <c r="I110" s="3"/>
      <c r="J110" s="3"/>
      <c r="K110" s="3"/>
      <c r="L110" s="3"/>
      <c r="M110" s="3"/>
      <c r="N110" s="3"/>
      <c r="O110" s="3"/>
      <c r="P110" s="3"/>
      <c r="Q110" s="3"/>
      <c r="R110" s="5"/>
      <c r="S110" s="3"/>
      <c r="T110" s="3"/>
      <c r="U110" s="3"/>
      <c r="V110" s="3"/>
      <c r="W110" s="3"/>
      <c r="X110" s="3"/>
      <c r="Y110" s="3"/>
      <c r="Z110" s="3"/>
    </row>
    <row r="111" ht="12.75" customHeight="1">
      <c r="A111" s="3"/>
      <c r="B111" s="3"/>
      <c r="C111" s="3"/>
      <c r="D111" s="3"/>
      <c r="E111" s="3"/>
      <c r="F111" s="3"/>
      <c r="G111" s="3"/>
      <c r="H111" s="3"/>
      <c r="I111" s="3"/>
      <c r="J111" s="3"/>
      <c r="K111" s="3"/>
      <c r="L111" s="3"/>
      <c r="M111" s="3"/>
      <c r="N111" s="3"/>
      <c r="O111" s="3"/>
      <c r="P111" s="3"/>
      <c r="Q111" s="3"/>
      <c r="R111" s="5"/>
      <c r="S111" s="3"/>
      <c r="T111" s="3"/>
      <c r="U111" s="3"/>
      <c r="V111" s="3"/>
      <c r="W111" s="3"/>
      <c r="X111" s="3"/>
      <c r="Y111" s="3"/>
      <c r="Z111" s="3"/>
    </row>
    <row r="112" ht="12.75" customHeight="1">
      <c r="A112" s="3"/>
      <c r="B112" s="3"/>
      <c r="C112" s="3"/>
      <c r="D112" s="3"/>
      <c r="E112" s="3"/>
      <c r="F112" s="3"/>
      <c r="G112" s="3"/>
      <c r="H112" s="3"/>
      <c r="I112" s="3"/>
      <c r="J112" s="3"/>
      <c r="K112" s="3"/>
      <c r="L112" s="3"/>
      <c r="M112" s="3"/>
      <c r="N112" s="3"/>
      <c r="O112" s="3"/>
      <c r="P112" s="3"/>
      <c r="Q112" s="3"/>
      <c r="R112" s="5"/>
      <c r="S112" s="3"/>
      <c r="T112" s="3"/>
      <c r="U112" s="3"/>
      <c r="V112" s="3"/>
      <c r="W112" s="3"/>
      <c r="X112" s="3"/>
      <c r="Y112" s="3"/>
      <c r="Z112" s="3"/>
    </row>
    <row r="113" ht="12.75" customHeight="1">
      <c r="A113" s="3"/>
      <c r="B113" s="3"/>
      <c r="C113" s="3"/>
      <c r="D113" s="3"/>
      <c r="E113" s="3"/>
      <c r="F113" s="3"/>
      <c r="G113" s="3"/>
      <c r="H113" s="3"/>
      <c r="I113" s="3"/>
      <c r="J113" s="3"/>
      <c r="K113" s="3"/>
      <c r="L113" s="3"/>
      <c r="M113" s="3"/>
      <c r="N113" s="3"/>
      <c r="O113" s="3"/>
      <c r="P113" s="3"/>
      <c r="Q113" s="3"/>
      <c r="R113" s="5"/>
      <c r="S113" s="3"/>
      <c r="T113" s="3"/>
      <c r="U113" s="3"/>
      <c r="V113" s="3"/>
      <c r="W113" s="3"/>
      <c r="X113" s="3"/>
      <c r="Y113" s="3"/>
      <c r="Z113" s="3"/>
    </row>
    <row r="114" ht="12.75" customHeight="1">
      <c r="A114" s="3"/>
      <c r="B114" s="3"/>
      <c r="C114" s="3"/>
      <c r="D114" s="3"/>
      <c r="E114" s="3"/>
      <c r="F114" s="3"/>
      <c r="G114" s="3"/>
      <c r="H114" s="3"/>
      <c r="I114" s="3"/>
      <c r="J114" s="3"/>
      <c r="K114" s="3"/>
      <c r="L114" s="3"/>
      <c r="M114" s="3"/>
      <c r="N114" s="3"/>
      <c r="O114" s="3"/>
      <c r="P114" s="3"/>
      <c r="Q114" s="3"/>
      <c r="R114" s="5"/>
      <c r="S114" s="3"/>
      <c r="T114" s="3"/>
      <c r="U114" s="3"/>
      <c r="V114" s="3"/>
      <c r="W114" s="3"/>
      <c r="X114" s="3"/>
      <c r="Y114" s="3"/>
      <c r="Z114" s="3"/>
    </row>
    <row r="115" ht="12.75" customHeight="1">
      <c r="A115" s="3"/>
      <c r="B115" s="3"/>
      <c r="C115" s="3"/>
      <c r="D115" s="3"/>
      <c r="E115" s="3"/>
      <c r="F115" s="3"/>
      <c r="G115" s="3"/>
      <c r="H115" s="3"/>
      <c r="I115" s="3"/>
      <c r="J115" s="3"/>
      <c r="K115" s="3"/>
      <c r="L115" s="3"/>
      <c r="M115" s="3"/>
      <c r="N115" s="3"/>
      <c r="O115" s="3"/>
      <c r="P115" s="3"/>
      <c r="Q115" s="3"/>
      <c r="R115" s="5"/>
      <c r="S115" s="3"/>
      <c r="T115" s="3"/>
      <c r="U115" s="3"/>
      <c r="V115" s="3"/>
      <c r="W115" s="3"/>
      <c r="X115" s="3"/>
      <c r="Y115" s="3"/>
      <c r="Z115" s="3"/>
    </row>
    <row r="116" ht="12.75" customHeight="1">
      <c r="A116" s="3"/>
      <c r="B116" s="3"/>
      <c r="C116" s="3"/>
      <c r="D116" s="3"/>
      <c r="E116" s="3"/>
      <c r="F116" s="3"/>
      <c r="G116" s="3"/>
      <c r="H116" s="3"/>
      <c r="I116" s="3"/>
      <c r="J116" s="3"/>
      <c r="K116" s="3"/>
      <c r="L116" s="3"/>
      <c r="M116" s="3"/>
      <c r="N116" s="3"/>
      <c r="O116" s="3"/>
      <c r="P116" s="3"/>
      <c r="Q116" s="3"/>
      <c r="R116" s="5"/>
      <c r="S116" s="3"/>
      <c r="T116" s="3"/>
      <c r="U116" s="3"/>
      <c r="V116" s="3"/>
      <c r="W116" s="3"/>
      <c r="X116" s="3"/>
      <c r="Y116" s="3"/>
      <c r="Z116" s="3"/>
    </row>
    <row r="117" ht="12.75" customHeight="1">
      <c r="A117" s="3"/>
      <c r="B117" s="3"/>
      <c r="C117" s="3"/>
      <c r="D117" s="3"/>
      <c r="E117" s="3"/>
      <c r="F117" s="3"/>
      <c r="G117" s="3"/>
      <c r="H117" s="3"/>
      <c r="I117" s="3"/>
      <c r="J117" s="3"/>
      <c r="K117" s="3"/>
      <c r="L117" s="3"/>
      <c r="M117" s="3"/>
      <c r="N117" s="3"/>
      <c r="O117" s="3"/>
      <c r="P117" s="3"/>
      <c r="Q117" s="3"/>
      <c r="R117" s="5"/>
      <c r="S117" s="3"/>
      <c r="T117" s="3"/>
      <c r="U117" s="3"/>
      <c r="V117" s="3"/>
      <c r="W117" s="3"/>
      <c r="X117" s="3"/>
      <c r="Y117" s="3"/>
      <c r="Z117" s="3"/>
    </row>
    <row r="118" ht="12.75" customHeight="1">
      <c r="A118" s="3"/>
      <c r="B118" s="3"/>
      <c r="C118" s="3"/>
      <c r="D118" s="3"/>
      <c r="E118" s="3"/>
      <c r="F118" s="3"/>
      <c r="G118" s="3"/>
      <c r="H118" s="3"/>
      <c r="I118" s="3"/>
      <c r="J118" s="3"/>
      <c r="K118" s="3"/>
      <c r="L118" s="3"/>
      <c r="M118" s="3"/>
      <c r="N118" s="3"/>
      <c r="O118" s="3"/>
      <c r="P118" s="3"/>
      <c r="Q118" s="3"/>
      <c r="R118" s="5"/>
      <c r="S118" s="3"/>
      <c r="T118" s="3"/>
      <c r="U118" s="3"/>
      <c r="V118" s="3"/>
      <c r="W118" s="3"/>
      <c r="X118" s="3"/>
      <c r="Y118" s="3"/>
      <c r="Z118" s="3"/>
    </row>
    <row r="119" ht="12.75" customHeight="1">
      <c r="A119" s="3"/>
      <c r="B119" s="3"/>
      <c r="C119" s="3"/>
      <c r="D119" s="3"/>
      <c r="E119" s="3"/>
      <c r="F119" s="3"/>
      <c r="G119" s="3"/>
      <c r="H119" s="3"/>
      <c r="I119" s="3"/>
      <c r="J119" s="3"/>
      <c r="K119" s="3"/>
      <c r="L119" s="3"/>
      <c r="M119" s="3"/>
      <c r="N119" s="3"/>
      <c r="O119" s="3"/>
      <c r="P119" s="3"/>
      <c r="Q119" s="3"/>
      <c r="R119" s="5"/>
      <c r="S119" s="3"/>
      <c r="T119" s="3"/>
      <c r="U119" s="3"/>
      <c r="V119" s="3"/>
      <c r="W119" s="3"/>
      <c r="X119" s="3"/>
      <c r="Y119" s="3"/>
      <c r="Z119" s="3"/>
    </row>
    <row r="120" ht="12.75" customHeight="1">
      <c r="A120" s="3"/>
      <c r="B120" s="3"/>
      <c r="C120" s="3"/>
      <c r="D120" s="3"/>
      <c r="E120" s="3"/>
      <c r="F120" s="3"/>
      <c r="G120" s="3"/>
      <c r="H120" s="3"/>
      <c r="I120" s="3"/>
      <c r="J120" s="3"/>
      <c r="K120" s="3"/>
      <c r="L120" s="3"/>
      <c r="M120" s="3"/>
      <c r="N120" s="3"/>
      <c r="O120" s="3"/>
      <c r="P120" s="3"/>
      <c r="Q120" s="3"/>
      <c r="R120" s="5"/>
      <c r="S120" s="3"/>
      <c r="T120" s="3"/>
      <c r="U120" s="3"/>
      <c r="V120" s="3"/>
      <c r="W120" s="3"/>
      <c r="X120" s="3"/>
      <c r="Y120" s="3"/>
      <c r="Z120" s="3"/>
    </row>
    <row r="121" ht="12.75" customHeight="1">
      <c r="A121" s="3"/>
      <c r="B121" s="3"/>
      <c r="C121" s="3"/>
      <c r="D121" s="3"/>
      <c r="E121" s="3"/>
      <c r="F121" s="3"/>
      <c r="G121" s="3"/>
      <c r="H121" s="3"/>
      <c r="I121" s="3"/>
      <c r="J121" s="3"/>
      <c r="K121" s="3"/>
      <c r="L121" s="3"/>
      <c r="M121" s="3"/>
      <c r="N121" s="3"/>
      <c r="O121" s="3"/>
      <c r="P121" s="3"/>
      <c r="Q121" s="3"/>
      <c r="R121" s="5"/>
      <c r="S121" s="3"/>
      <c r="T121" s="3"/>
      <c r="U121" s="3"/>
      <c r="V121" s="3"/>
      <c r="W121" s="3"/>
      <c r="X121" s="3"/>
      <c r="Y121" s="3"/>
      <c r="Z121" s="3"/>
    </row>
    <row r="122" ht="12.75" customHeight="1">
      <c r="A122" s="3"/>
      <c r="B122" s="3"/>
      <c r="C122" s="3"/>
      <c r="D122" s="3"/>
      <c r="E122" s="3"/>
      <c r="F122" s="3"/>
      <c r="G122" s="3"/>
      <c r="H122" s="3"/>
      <c r="I122" s="3"/>
      <c r="J122" s="3"/>
      <c r="K122" s="3"/>
      <c r="L122" s="3"/>
      <c r="M122" s="3"/>
      <c r="N122" s="3"/>
      <c r="O122" s="3"/>
      <c r="P122" s="3"/>
      <c r="Q122" s="3"/>
      <c r="R122" s="5"/>
      <c r="S122" s="3"/>
      <c r="T122" s="3"/>
      <c r="U122" s="3"/>
      <c r="V122" s="3"/>
      <c r="W122" s="3"/>
      <c r="X122" s="3"/>
      <c r="Y122" s="3"/>
      <c r="Z122" s="3"/>
    </row>
    <row r="123" ht="12.75" customHeight="1">
      <c r="A123" s="3"/>
      <c r="B123" s="3"/>
      <c r="C123" s="3"/>
      <c r="D123" s="3"/>
      <c r="E123" s="3"/>
      <c r="F123" s="3"/>
      <c r="G123" s="3"/>
      <c r="H123" s="3"/>
      <c r="I123" s="3"/>
      <c r="J123" s="3"/>
      <c r="K123" s="3"/>
      <c r="L123" s="3"/>
      <c r="M123" s="3"/>
      <c r="N123" s="3"/>
      <c r="O123" s="3"/>
      <c r="P123" s="3"/>
      <c r="Q123" s="3"/>
      <c r="R123" s="5"/>
      <c r="S123" s="3"/>
      <c r="T123" s="3"/>
      <c r="U123" s="3"/>
      <c r="V123" s="3"/>
      <c r="W123" s="3"/>
      <c r="X123" s="3"/>
      <c r="Y123" s="3"/>
      <c r="Z123" s="3"/>
    </row>
    <row r="124" ht="12.75" customHeight="1">
      <c r="A124" s="3"/>
      <c r="B124" s="3"/>
      <c r="C124" s="3"/>
      <c r="D124" s="3"/>
      <c r="E124" s="3"/>
      <c r="F124" s="3"/>
      <c r="G124" s="3"/>
      <c r="H124" s="3"/>
      <c r="I124" s="3"/>
      <c r="J124" s="3"/>
      <c r="K124" s="3"/>
      <c r="L124" s="3"/>
      <c r="M124" s="3"/>
      <c r="N124" s="3"/>
      <c r="O124" s="3"/>
      <c r="P124" s="3"/>
      <c r="Q124" s="3"/>
      <c r="R124" s="5"/>
      <c r="S124" s="3"/>
      <c r="T124" s="3"/>
      <c r="U124" s="3"/>
      <c r="V124" s="3"/>
      <c r="W124" s="3"/>
      <c r="X124" s="3"/>
      <c r="Y124" s="3"/>
      <c r="Z124" s="3"/>
    </row>
    <row r="125" ht="12.75" customHeight="1">
      <c r="A125" s="3"/>
      <c r="B125" s="3"/>
      <c r="C125" s="3"/>
      <c r="D125" s="3"/>
      <c r="E125" s="3"/>
      <c r="F125" s="3"/>
      <c r="G125" s="3"/>
      <c r="H125" s="3"/>
      <c r="I125" s="3"/>
      <c r="J125" s="3"/>
      <c r="K125" s="3"/>
      <c r="L125" s="3"/>
      <c r="M125" s="3"/>
      <c r="N125" s="3"/>
      <c r="O125" s="3"/>
      <c r="P125" s="3"/>
      <c r="Q125" s="3"/>
      <c r="R125" s="5"/>
      <c r="S125" s="3"/>
      <c r="T125" s="3"/>
      <c r="U125" s="3"/>
      <c r="V125" s="3"/>
      <c r="W125" s="3"/>
      <c r="X125" s="3"/>
      <c r="Y125" s="3"/>
      <c r="Z125" s="3"/>
    </row>
    <row r="126" ht="12.75" customHeight="1">
      <c r="A126" s="3"/>
      <c r="B126" s="3"/>
      <c r="C126" s="3"/>
      <c r="D126" s="3"/>
      <c r="E126" s="3"/>
      <c r="F126" s="3"/>
      <c r="G126" s="3"/>
      <c r="H126" s="3"/>
      <c r="I126" s="3"/>
      <c r="J126" s="3"/>
      <c r="K126" s="3"/>
      <c r="L126" s="3"/>
      <c r="M126" s="3"/>
      <c r="N126" s="3"/>
      <c r="O126" s="3"/>
      <c r="P126" s="3"/>
      <c r="Q126" s="3"/>
      <c r="R126" s="5"/>
      <c r="S126" s="3"/>
      <c r="T126" s="3"/>
      <c r="U126" s="3"/>
      <c r="V126" s="3"/>
      <c r="W126" s="3"/>
      <c r="X126" s="3"/>
      <c r="Y126" s="3"/>
      <c r="Z126" s="3"/>
    </row>
    <row r="127" ht="12.75" customHeight="1">
      <c r="A127" s="3"/>
      <c r="B127" s="3"/>
      <c r="C127" s="3"/>
      <c r="D127" s="3"/>
      <c r="E127" s="3"/>
      <c r="F127" s="3"/>
      <c r="G127" s="3"/>
      <c r="H127" s="3"/>
      <c r="I127" s="3"/>
      <c r="J127" s="3"/>
      <c r="K127" s="3"/>
      <c r="L127" s="3"/>
      <c r="M127" s="3"/>
      <c r="N127" s="3"/>
      <c r="O127" s="3"/>
      <c r="P127" s="3"/>
      <c r="Q127" s="3"/>
      <c r="R127" s="5"/>
      <c r="S127" s="3"/>
      <c r="T127" s="3"/>
      <c r="U127" s="3"/>
      <c r="V127" s="3"/>
      <c r="W127" s="3"/>
      <c r="X127" s="3"/>
      <c r="Y127" s="3"/>
      <c r="Z127" s="3"/>
    </row>
    <row r="128" ht="12.75" customHeight="1">
      <c r="A128" s="3"/>
      <c r="B128" s="3"/>
      <c r="C128" s="3"/>
      <c r="D128" s="3"/>
      <c r="E128" s="3"/>
      <c r="F128" s="3"/>
      <c r="G128" s="3"/>
      <c r="H128" s="3"/>
      <c r="I128" s="3"/>
      <c r="J128" s="3"/>
      <c r="K128" s="3"/>
      <c r="L128" s="3"/>
      <c r="M128" s="3"/>
      <c r="N128" s="3"/>
      <c r="O128" s="3"/>
      <c r="P128" s="3"/>
      <c r="Q128" s="3"/>
      <c r="R128" s="5"/>
      <c r="S128" s="3"/>
      <c r="T128" s="3"/>
      <c r="U128" s="3"/>
      <c r="V128" s="3"/>
      <c r="W128" s="3"/>
      <c r="X128" s="3"/>
      <c r="Y128" s="3"/>
      <c r="Z128" s="3"/>
    </row>
    <row r="129" ht="12.75" customHeight="1">
      <c r="A129" s="3"/>
      <c r="B129" s="3"/>
      <c r="C129" s="3"/>
      <c r="D129" s="3"/>
      <c r="E129" s="3"/>
      <c r="F129" s="3"/>
      <c r="G129" s="3"/>
      <c r="H129" s="3"/>
      <c r="I129" s="3"/>
      <c r="J129" s="3"/>
      <c r="K129" s="3"/>
      <c r="L129" s="3"/>
      <c r="M129" s="3"/>
      <c r="N129" s="3"/>
      <c r="O129" s="3"/>
      <c r="P129" s="3"/>
      <c r="Q129" s="3"/>
      <c r="R129" s="5"/>
      <c r="S129" s="3"/>
      <c r="T129" s="3"/>
      <c r="U129" s="3"/>
      <c r="V129" s="3"/>
      <c r="W129" s="3"/>
      <c r="X129" s="3"/>
      <c r="Y129" s="3"/>
      <c r="Z129" s="3"/>
    </row>
    <row r="130" ht="12.75" customHeight="1">
      <c r="A130" s="3"/>
      <c r="B130" s="3"/>
      <c r="C130" s="3"/>
      <c r="D130" s="3"/>
      <c r="E130" s="3"/>
      <c r="F130" s="3"/>
      <c r="G130" s="3"/>
      <c r="H130" s="3"/>
      <c r="I130" s="3"/>
      <c r="J130" s="3"/>
      <c r="K130" s="3"/>
      <c r="L130" s="3"/>
      <c r="M130" s="3"/>
      <c r="N130" s="3"/>
      <c r="O130" s="3"/>
      <c r="P130" s="3"/>
      <c r="Q130" s="3"/>
      <c r="R130" s="5"/>
      <c r="S130" s="3"/>
      <c r="T130" s="3"/>
      <c r="U130" s="3"/>
      <c r="V130" s="3"/>
      <c r="W130" s="3"/>
      <c r="X130" s="3"/>
      <c r="Y130" s="3"/>
      <c r="Z130" s="3"/>
    </row>
    <row r="131" ht="12.75" customHeight="1">
      <c r="A131" s="3"/>
      <c r="B131" s="3"/>
      <c r="C131" s="3"/>
      <c r="D131" s="3"/>
      <c r="E131" s="3"/>
      <c r="F131" s="3"/>
      <c r="G131" s="3"/>
      <c r="H131" s="3"/>
      <c r="I131" s="3"/>
      <c r="J131" s="3"/>
      <c r="K131" s="3"/>
      <c r="L131" s="3"/>
      <c r="M131" s="3"/>
      <c r="N131" s="3"/>
      <c r="O131" s="3"/>
      <c r="P131" s="3"/>
      <c r="Q131" s="3"/>
      <c r="R131" s="5"/>
      <c r="S131" s="3"/>
      <c r="T131" s="3"/>
      <c r="U131" s="3"/>
      <c r="V131" s="3"/>
      <c r="W131" s="3"/>
      <c r="X131" s="3"/>
      <c r="Y131" s="3"/>
      <c r="Z131" s="3"/>
    </row>
    <row r="132" ht="12.75" customHeight="1">
      <c r="A132" s="3"/>
      <c r="B132" s="3"/>
      <c r="C132" s="3"/>
      <c r="D132" s="3"/>
      <c r="E132" s="3"/>
      <c r="F132" s="3"/>
      <c r="G132" s="3"/>
      <c r="H132" s="3"/>
      <c r="I132" s="3"/>
      <c r="J132" s="3"/>
      <c r="K132" s="3"/>
      <c r="L132" s="3"/>
      <c r="M132" s="3"/>
      <c r="N132" s="3"/>
      <c r="O132" s="3"/>
      <c r="P132" s="3"/>
      <c r="Q132" s="3"/>
      <c r="R132" s="5"/>
      <c r="S132" s="3"/>
      <c r="T132" s="3"/>
      <c r="U132" s="3"/>
      <c r="V132" s="3"/>
      <c r="W132" s="3"/>
      <c r="X132" s="3"/>
      <c r="Y132" s="3"/>
      <c r="Z132" s="3"/>
    </row>
    <row r="133" ht="12.75" customHeight="1">
      <c r="A133" s="3"/>
      <c r="B133" s="3"/>
      <c r="C133" s="3"/>
      <c r="D133" s="3"/>
      <c r="E133" s="3"/>
      <c r="F133" s="3"/>
      <c r="G133" s="3"/>
      <c r="H133" s="3"/>
      <c r="I133" s="3"/>
      <c r="J133" s="3"/>
      <c r="K133" s="3"/>
      <c r="L133" s="3"/>
      <c r="M133" s="3"/>
      <c r="N133" s="3"/>
      <c r="O133" s="3"/>
      <c r="P133" s="3"/>
      <c r="Q133" s="3"/>
      <c r="R133" s="5"/>
      <c r="S133" s="3"/>
      <c r="T133" s="3"/>
      <c r="U133" s="3"/>
      <c r="V133" s="3"/>
      <c r="W133" s="3"/>
      <c r="X133" s="3"/>
      <c r="Y133" s="3"/>
      <c r="Z133" s="3"/>
    </row>
    <row r="134" ht="12.75" customHeight="1">
      <c r="A134" s="3"/>
      <c r="B134" s="3"/>
      <c r="C134" s="3"/>
      <c r="D134" s="3"/>
      <c r="E134" s="3"/>
      <c r="F134" s="3"/>
      <c r="G134" s="3"/>
      <c r="H134" s="3"/>
      <c r="I134" s="3"/>
      <c r="J134" s="3"/>
      <c r="K134" s="3"/>
      <c r="L134" s="3"/>
      <c r="M134" s="3"/>
      <c r="N134" s="3"/>
      <c r="O134" s="3"/>
      <c r="P134" s="3"/>
      <c r="Q134" s="3"/>
      <c r="R134" s="5"/>
      <c r="S134" s="3"/>
      <c r="T134" s="3"/>
      <c r="U134" s="3"/>
      <c r="V134" s="3"/>
      <c r="W134" s="3"/>
      <c r="X134" s="3"/>
      <c r="Y134" s="3"/>
      <c r="Z134" s="3"/>
    </row>
    <row r="135" ht="12.75" customHeight="1">
      <c r="A135" s="3"/>
      <c r="B135" s="3"/>
      <c r="C135" s="3"/>
      <c r="D135" s="3"/>
      <c r="E135" s="3"/>
      <c r="F135" s="3"/>
      <c r="G135" s="3"/>
      <c r="H135" s="3"/>
      <c r="I135" s="3"/>
      <c r="J135" s="3"/>
      <c r="K135" s="3"/>
      <c r="L135" s="3"/>
      <c r="M135" s="3"/>
      <c r="N135" s="3"/>
      <c r="O135" s="3"/>
      <c r="P135" s="3"/>
      <c r="Q135" s="3"/>
      <c r="R135" s="5"/>
      <c r="S135" s="3"/>
      <c r="T135" s="3"/>
      <c r="U135" s="3"/>
      <c r="V135" s="3"/>
      <c r="W135" s="3"/>
      <c r="X135" s="3"/>
      <c r="Y135" s="3"/>
      <c r="Z135" s="3"/>
    </row>
    <row r="136" ht="12.75" customHeight="1">
      <c r="A136" s="3"/>
      <c r="B136" s="3"/>
      <c r="C136" s="3"/>
      <c r="D136" s="3"/>
      <c r="E136" s="3"/>
      <c r="F136" s="3"/>
      <c r="G136" s="3"/>
      <c r="H136" s="3"/>
      <c r="I136" s="3"/>
      <c r="J136" s="3"/>
      <c r="K136" s="3"/>
      <c r="L136" s="3"/>
      <c r="M136" s="3"/>
      <c r="N136" s="3"/>
      <c r="O136" s="3"/>
      <c r="P136" s="3"/>
      <c r="Q136" s="3"/>
      <c r="R136" s="5"/>
      <c r="S136" s="3"/>
      <c r="T136" s="3"/>
      <c r="U136" s="3"/>
      <c r="V136" s="3"/>
      <c r="W136" s="3"/>
      <c r="X136" s="3"/>
      <c r="Y136" s="3"/>
      <c r="Z136" s="3"/>
    </row>
    <row r="137" ht="12.75" customHeight="1">
      <c r="A137" s="3"/>
      <c r="B137" s="3"/>
      <c r="C137" s="3"/>
      <c r="D137" s="3"/>
      <c r="E137" s="3"/>
      <c r="F137" s="3"/>
      <c r="G137" s="3"/>
      <c r="H137" s="3"/>
      <c r="I137" s="3"/>
      <c r="J137" s="3"/>
      <c r="K137" s="3"/>
      <c r="L137" s="3"/>
      <c r="M137" s="3"/>
      <c r="N137" s="3"/>
      <c r="O137" s="3"/>
      <c r="P137" s="3"/>
      <c r="Q137" s="3"/>
      <c r="R137" s="5"/>
      <c r="S137" s="3"/>
      <c r="T137" s="3"/>
      <c r="U137" s="3"/>
      <c r="V137" s="3"/>
      <c r="W137" s="3"/>
      <c r="X137" s="3"/>
      <c r="Y137" s="3"/>
      <c r="Z137" s="3"/>
    </row>
    <row r="138" ht="12.75" customHeight="1">
      <c r="A138" s="3"/>
      <c r="B138" s="3"/>
      <c r="C138" s="3"/>
      <c r="D138" s="3"/>
      <c r="E138" s="3"/>
      <c r="F138" s="3"/>
      <c r="G138" s="3"/>
      <c r="H138" s="3"/>
      <c r="I138" s="3"/>
      <c r="J138" s="3"/>
      <c r="K138" s="3"/>
      <c r="L138" s="3"/>
      <c r="M138" s="3"/>
      <c r="N138" s="3"/>
      <c r="O138" s="3"/>
      <c r="P138" s="3"/>
      <c r="Q138" s="3"/>
      <c r="R138" s="5"/>
      <c r="S138" s="3"/>
      <c r="T138" s="3"/>
      <c r="U138" s="3"/>
      <c r="V138" s="3"/>
      <c r="W138" s="3"/>
      <c r="X138" s="3"/>
      <c r="Y138" s="3"/>
      <c r="Z138" s="3"/>
    </row>
    <row r="139" ht="12.75" customHeight="1">
      <c r="A139" s="3"/>
      <c r="B139" s="3"/>
      <c r="C139" s="3"/>
      <c r="D139" s="3"/>
      <c r="E139" s="3"/>
      <c r="F139" s="3"/>
      <c r="G139" s="3"/>
      <c r="H139" s="3"/>
      <c r="I139" s="3"/>
      <c r="J139" s="3"/>
      <c r="K139" s="3"/>
      <c r="L139" s="3"/>
      <c r="M139" s="3"/>
      <c r="N139" s="3"/>
      <c r="O139" s="3"/>
      <c r="P139" s="3"/>
      <c r="Q139" s="3"/>
      <c r="R139" s="5"/>
      <c r="S139" s="3"/>
      <c r="T139" s="3"/>
      <c r="U139" s="3"/>
      <c r="V139" s="3"/>
      <c r="W139" s="3"/>
      <c r="X139" s="3"/>
      <c r="Y139" s="3"/>
      <c r="Z139" s="3"/>
    </row>
    <row r="140" ht="12.75" customHeight="1">
      <c r="A140" s="3"/>
      <c r="B140" s="3"/>
      <c r="C140" s="3"/>
      <c r="D140" s="3"/>
      <c r="E140" s="3"/>
      <c r="F140" s="3"/>
      <c r="G140" s="3"/>
      <c r="H140" s="3"/>
      <c r="I140" s="3"/>
      <c r="J140" s="3"/>
      <c r="K140" s="3"/>
      <c r="L140" s="3"/>
      <c r="M140" s="3"/>
      <c r="N140" s="3"/>
      <c r="O140" s="3"/>
      <c r="P140" s="3"/>
      <c r="Q140" s="3"/>
      <c r="R140" s="5"/>
      <c r="S140" s="3"/>
      <c r="T140" s="3"/>
      <c r="U140" s="3"/>
      <c r="V140" s="3"/>
      <c r="W140" s="3"/>
      <c r="X140" s="3"/>
      <c r="Y140" s="3"/>
      <c r="Z140" s="3"/>
    </row>
    <row r="141" ht="12.75" customHeight="1">
      <c r="A141" s="3"/>
      <c r="B141" s="3"/>
      <c r="C141" s="3"/>
      <c r="D141" s="3"/>
      <c r="E141" s="3"/>
      <c r="F141" s="3"/>
      <c r="G141" s="3"/>
      <c r="H141" s="3"/>
      <c r="I141" s="3"/>
      <c r="J141" s="3"/>
      <c r="K141" s="3"/>
      <c r="L141" s="3"/>
      <c r="M141" s="3"/>
      <c r="N141" s="3"/>
      <c r="O141" s="3"/>
      <c r="P141" s="3"/>
      <c r="Q141" s="3"/>
      <c r="R141" s="5"/>
      <c r="S141" s="3"/>
      <c r="T141" s="3"/>
      <c r="U141" s="3"/>
      <c r="V141" s="3"/>
      <c r="W141" s="3"/>
      <c r="X141" s="3"/>
      <c r="Y141" s="3"/>
      <c r="Z141" s="3"/>
    </row>
    <row r="142" ht="12.75" customHeight="1">
      <c r="A142" s="3"/>
      <c r="B142" s="3"/>
      <c r="C142" s="3"/>
      <c r="D142" s="3"/>
      <c r="E142" s="3"/>
      <c r="F142" s="3"/>
      <c r="G142" s="3"/>
      <c r="H142" s="3"/>
      <c r="I142" s="3"/>
      <c r="J142" s="3"/>
      <c r="K142" s="3"/>
      <c r="L142" s="3"/>
      <c r="M142" s="3"/>
      <c r="N142" s="3"/>
      <c r="O142" s="3"/>
      <c r="P142" s="3"/>
      <c r="Q142" s="3"/>
      <c r="R142" s="5"/>
      <c r="S142" s="3"/>
      <c r="T142" s="3"/>
      <c r="U142" s="3"/>
      <c r="V142" s="3"/>
      <c r="W142" s="3"/>
      <c r="X142" s="3"/>
      <c r="Y142" s="3"/>
      <c r="Z142" s="3"/>
    </row>
    <row r="143" ht="12.75" customHeight="1">
      <c r="A143" s="3"/>
      <c r="B143" s="3"/>
      <c r="C143" s="3"/>
      <c r="D143" s="3"/>
      <c r="E143" s="3"/>
      <c r="F143" s="3"/>
      <c r="G143" s="3"/>
      <c r="H143" s="3"/>
      <c r="I143" s="3"/>
      <c r="J143" s="3"/>
      <c r="K143" s="3"/>
      <c r="L143" s="3"/>
      <c r="M143" s="3"/>
      <c r="N143" s="3"/>
      <c r="O143" s="3"/>
      <c r="P143" s="3"/>
      <c r="Q143" s="3"/>
      <c r="R143" s="5"/>
      <c r="S143" s="3"/>
      <c r="T143" s="3"/>
      <c r="U143" s="3"/>
      <c r="V143" s="3"/>
      <c r="W143" s="3"/>
      <c r="X143" s="3"/>
      <c r="Y143" s="3"/>
      <c r="Z143" s="3"/>
    </row>
    <row r="144" ht="12.75" customHeight="1">
      <c r="A144" s="3"/>
      <c r="B144" s="3"/>
      <c r="C144" s="3"/>
      <c r="D144" s="3"/>
      <c r="E144" s="3"/>
      <c r="F144" s="3"/>
      <c r="G144" s="3"/>
      <c r="H144" s="3"/>
      <c r="I144" s="3"/>
      <c r="J144" s="3"/>
      <c r="K144" s="3"/>
      <c r="L144" s="3"/>
      <c r="M144" s="3"/>
      <c r="N144" s="3"/>
      <c r="O144" s="3"/>
      <c r="P144" s="3"/>
      <c r="Q144" s="3"/>
      <c r="R144" s="5"/>
      <c r="S144" s="3"/>
      <c r="T144" s="3"/>
      <c r="U144" s="3"/>
      <c r="V144" s="3"/>
      <c r="W144" s="3"/>
      <c r="X144" s="3"/>
      <c r="Y144" s="3"/>
      <c r="Z144" s="3"/>
    </row>
    <row r="145" ht="12.75" customHeight="1">
      <c r="A145" s="3"/>
      <c r="B145" s="3"/>
      <c r="C145" s="3"/>
      <c r="D145" s="3"/>
      <c r="E145" s="3"/>
      <c r="F145" s="3"/>
      <c r="G145" s="3"/>
      <c r="H145" s="3"/>
      <c r="I145" s="3"/>
      <c r="J145" s="3"/>
      <c r="K145" s="3"/>
      <c r="L145" s="3"/>
      <c r="M145" s="3"/>
      <c r="N145" s="3"/>
      <c r="O145" s="3"/>
      <c r="P145" s="3"/>
      <c r="Q145" s="3"/>
      <c r="R145" s="5"/>
      <c r="S145" s="3"/>
      <c r="T145" s="3"/>
      <c r="U145" s="3"/>
      <c r="V145" s="3"/>
      <c r="W145" s="3"/>
      <c r="X145" s="3"/>
      <c r="Y145" s="3"/>
      <c r="Z145" s="3"/>
    </row>
    <row r="146" ht="12.75" customHeight="1">
      <c r="A146" s="3"/>
      <c r="B146" s="3"/>
      <c r="C146" s="3"/>
      <c r="D146" s="3"/>
      <c r="E146" s="3"/>
      <c r="F146" s="3"/>
      <c r="G146" s="3"/>
      <c r="H146" s="3"/>
      <c r="I146" s="3"/>
      <c r="J146" s="3"/>
      <c r="K146" s="3"/>
      <c r="L146" s="3"/>
      <c r="M146" s="3"/>
      <c r="N146" s="3"/>
      <c r="O146" s="3"/>
      <c r="P146" s="3"/>
      <c r="Q146" s="3"/>
      <c r="R146" s="5"/>
      <c r="S146" s="3"/>
      <c r="T146" s="3"/>
      <c r="U146" s="3"/>
      <c r="V146" s="3"/>
      <c r="W146" s="3"/>
      <c r="X146" s="3"/>
      <c r="Y146" s="3"/>
      <c r="Z146" s="3"/>
    </row>
    <row r="147" ht="12.75" customHeight="1">
      <c r="A147" s="3"/>
      <c r="B147" s="3"/>
      <c r="C147" s="3"/>
      <c r="D147" s="3"/>
      <c r="E147" s="3"/>
      <c r="F147" s="3"/>
      <c r="G147" s="3"/>
      <c r="H147" s="3"/>
      <c r="I147" s="3"/>
      <c r="J147" s="3"/>
      <c r="K147" s="3"/>
      <c r="L147" s="3"/>
      <c r="M147" s="3"/>
      <c r="N147" s="3"/>
      <c r="O147" s="3"/>
      <c r="P147" s="3"/>
      <c r="Q147" s="3"/>
      <c r="R147" s="5"/>
      <c r="S147" s="3"/>
      <c r="T147" s="3"/>
      <c r="U147" s="3"/>
      <c r="V147" s="3"/>
      <c r="W147" s="3"/>
      <c r="X147" s="3"/>
      <c r="Y147" s="3"/>
      <c r="Z147" s="3"/>
    </row>
    <row r="148" ht="12.75" customHeight="1">
      <c r="A148" s="3"/>
      <c r="B148" s="3"/>
      <c r="C148" s="3"/>
      <c r="D148" s="3"/>
      <c r="E148" s="3"/>
      <c r="F148" s="3"/>
      <c r="G148" s="3"/>
      <c r="H148" s="3"/>
      <c r="I148" s="3"/>
      <c r="J148" s="3"/>
      <c r="K148" s="3"/>
      <c r="L148" s="3"/>
      <c r="M148" s="3"/>
      <c r="N148" s="3"/>
      <c r="O148" s="3"/>
      <c r="P148" s="3"/>
      <c r="Q148" s="3"/>
      <c r="R148" s="5"/>
      <c r="S148" s="3"/>
      <c r="T148" s="3"/>
      <c r="U148" s="3"/>
      <c r="V148" s="3"/>
      <c r="W148" s="3"/>
      <c r="X148" s="3"/>
      <c r="Y148" s="3"/>
      <c r="Z148" s="3"/>
    </row>
    <row r="149" ht="12.75" customHeight="1">
      <c r="A149" s="3"/>
      <c r="B149" s="3"/>
      <c r="C149" s="3"/>
      <c r="D149" s="3"/>
      <c r="E149" s="3"/>
      <c r="F149" s="3"/>
      <c r="G149" s="3"/>
      <c r="H149" s="3"/>
      <c r="I149" s="3"/>
      <c r="J149" s="3"/>
      <c r="K149" s="3"/>
      <c r="L149" s="3"/>
      <c r="M149" s="3"/>
      <c r="N149" s="3"/>
      <c r="O149" s="3"/>
      <c r="P149" s="3"/>
      <c r="Q149" s="3"/>
      <c r="R149" s="5"/>
      <c r="S149" s="3"/>
      <c r="T149" s="3"/>
      <c r="U149" s="3"/>
      <c r="V149" s="3"/>
      <c r="W149" s="3"/>
      <c r="X149" s="3"/>
      <c r="Y149" s="3"/>
      <c r="Z149" s="3"/>
    </row>
    <row r="150" ht="12.75" customHeight="1">
      <c r="A150" s="3"/>
      <c r="B150" s="3"/>
      <c r="C150" s="3"/>
      <c r="D150" s="3"/>
      <c r="E150" s="3"/>
      <c r="F150" s="3"/>
      <c r="G150" s="3"/>
      <c r="H150" s="3"/>
      <c r="I150" s="3"/>
      <c r="J150" s="3"/>
      <c r="K150" s="3"/>
      <c r="L150" s="3"/>
      <c r="M150" s="3"/>
      <c r="N150" s="3"/>
      <c r="O150" s="3"/>
      <c r="P150" s="3"/>
      <c r="Q150" s="3"/>
      <c r="R150" s="5"/>
      <c r="S150" s="3"/>
      <c r="T150" s="3"/>
      <c r="U150" s="3"/>
      <c r="V150" s="3"/>
      <c r="W150" s="3"/>
      <c r="X150" s="3"/>
      <c r="Y150" s="3"/>
      <c r="Z150" s="3"/>
    </row>
    <row r="151" ht="12.75" customHeight="1">
      <c r="A151" s="3"/>
      <c r="B151" s="3"/>
      <c r="C151" s="3"/>
      <c r="D151" s="3"/>
      <c r="E151" s="3"/>
      <c r="F151" s="3"/>
      <c r="G151" s="3"/>
      <c r="H151" s="3"/>
      <c r="I151" s="3"/>
      <c r="J151" s="3"/>
      <c r="K151" s="3"/>
      <c r="L151" s="3"/>
      <c r="M151" s="3"/>
      <c r="N151" s="3"/>
      <c r="O151" s="3"/>
      <c r="P151" s="3"/>
      <c r="Q151" s="3"/>
      <c r="R151" s="5"/>
      <c r="S151" s="3"/>
      <c r="T151" s="3"/>
      <c r="U151" s="3"/>
      <c r="V151" s="3"/>
      <c r="W151" s="3"/>
      <c r="X151" s="3"/>
      <c r="Y151" s="3"/>
      <c r="Z151" s="3"/>
    </row>
    <row r="152" ht="12.75" customHeight="1">
      <c r="A152" s="3"/>
      <c r="B152" s="3"/>
      <c r="C152" s="3"/>
      <c r="D152" s="3"/>
      <c r="E152" s="3"/>
      <c r="F152" s="3"/>
      <c r="G152" s="3"/>
      <c r="H152" s="3"/>
      <c r="I152" s="3"/>
      <c r="J152" s="3"/>
      <c r="K152" s="3"/>
      <c r="L152" s="3"/>
      <c r="M152" s="3"/>
      <c r="N152" s="3"/>
      <c r="O152" s="3"/>
      <c r="P152" s="3"/>
      <c r="Q152" s="3"/>
      <c r="R152" s="5"/>
      <c r="S152" s="3"/>
      <c r="T152" s="3"/>
      <c r="U152" s="3"/>
      <c r="V152" s="3"/>
      <c r="W152" s="3"/>
      <c r="X152" s="3"/>
      <c r="Y152" s="3"/>
      <c r="Z152" s="3"/>
    </row>
    <row r="153" ht="12.75" customHeight="1">
      <c r="A153" s="3"/>
      <c r="B153" s="3"/>
      <c r="C153" s="3"/>
      <c r="D153" s="3"/>
      <c r="E153" s="3"/>
      <c r="F153" s="3"/>
      <c r="G153" s="3"/>
      <c r="H153" s="3"/>
      <c r="I153" s="3"/>
      <c r="J153" s="3"/>
      <c r="K153" s="3"/>
      <c r="L153" s="3"/>
      <c r="M153" s="3"/>
      <c r="N153" s="3"/>
      <c r="O153" s="3"/>
      <c r="P153" s="3"/>
      <c r="Q153" s="3"/>
      <c r="R153" s="5"/>
      <c r="S153" s="3"/>
      <c r="T153" s="3"/>
      <c r="U153" s="3"/>
      <c r="V153" s="3"/>
      <c r="W153" s="3"/>
      <c r="X153" s="3"/>
      <c r="Y153" s="3"/>
      <c r="Z153" s="3"/>
    </row>
    <row r="154" ht="12.75" customHeight="1">
      <c r="A154" s="3"/>
      <c r="B154" s="3"/>
      <c r="C154" s="3"/>
      <c r="D154" s="3"/>
      <c r="E154" s="3"/>
      <c r="F154" s="3"/>
      <c r="G154" s="3"/>
      <c r="H154" s="3"/>
      <c r="I154" s="3"/>
      <c r="J154" s="3"/>
      <c r="K154" s="3"/>
      <c r="L154" s="3"/>
      <c r="M154" s="3"/>
      <c r="N154" s="3"/>
      <c r="O154" s="3"/>
      <c r="P154" s="3"/>
      <c r="Q154" s="3"/>
      <c r="R154" s="5"/>
      <c r="S154" s="3"/>
      <c r="T154" s="3"/>
      <c r="U154" s="3"/>
      <c r="V154" s="3"/>
      <c r="W154" s="3"/>
      <c r="X154" s="3"/>
      <c r="Y154" s="3"/>
      <c r="Z154" s="3"/>
    </row>
    <row r="155" ht="12.75" customHeight="1">
      <c r="A155" s="3"/>
      <c r="B155" s="3"/>
      <c r="C155" s="3"/>
      <c r="D155" s="3"/>
      <c r="E155" s="3"/>
      <c r="F155" s="3"/>
      <c r="G155" s="3"/>
      <c r="H155" s="3"/>
      <c r="I155" s="3"/>
      <c r="J155" s="3"/>
      <c r="K155" s="3"/>
      <c r="L155" s="3"/>
      <c r="M155" s="3"/>
      <c r="N155" s="3"/>
      <c r="O155" s="3"/>
      <c r="P155" s="3"/>
      <c r="Q155" s="3"/>
      <c r="R155" s="5"/>
      <c r="S155" s="3"/>
      <c r="T155" s="3"/>
      <c r="U155" s="3"/>
      <c r="V155" s="3"/>
      <c r="W155" s="3"/>
      <c r="X155" s="3"/>
      <c r="Y155" s="3"/>
      <c r="Z155" s="3"/>
    </row>
    <row r="156" ht="12.75" customHeight="1">
      <c r="A156" s="3"/>
      <c r="B156" s="3"/>
      <c r="C156" s="3"/>
      <c r="D156" s="3"/>
      <c r="E156" s="3"/>
      <c r="F156" s="3"/>
      <c r="G156" s="3"/>
      <c r="H156" s="3"/>
      <c r="I156" s="3"/>
      <c r="J156" s="3"/>
      <c r="K156" s="3"/>
      <c r="L156" s="3"/>
      <c r="M156" s="3"/>
      <c r="N156" s="3"/>
      <c r="O156" s="3"/>
      <c r="P156" s="3"/>
      <c r="Q156" s="3"/>
      <c r="R156" s="5"/>
      <c r="S156" s="3"/>
      <c r="T156" s="3"/>
      <c r="U156" s="3"/>
      <c r="V156" s="3"/>
      <c r="W156" s="3"/>
      <c r="X156" s="3"/>
      <c r="Y156" s="3"/>
      <c r="Z156" s="3"/>
    </row>
    <row r="157" ht="12.75" customHeight="1">
      <c r="A157" s="3"/>
      <c r="B157" s="3"/>
      <c r="C157" s="3"/>
      <c r="D157" s="3"/>
      <c r="E157" s="3"/>
      <c r="F157" s="3"/>
      <c r="G157" s="3"/>
      <c r="H157" s="3"/>
      <c r="I157" s="3"/>
      <c r="J157" s="3"/>
      <c r="K157" s="3"/>
      <c r="L157" s="3"/>
      <c r="M157" s="3"/>
      <c r="N157" s="3"/>
      <c r="O157" s="3"/>
      <c r="P157" s="3"/>
      <c r="Q157" s="3"/>
      <c r="R157" s="5"/>
      <c r="S157" s="3"/>
      <c r="T157" s="3"/>
      <c r="U157" s="3"/>
      <c r="V157" s="3"/>
      <c r="W157" s="3"/>
      <c r="X157" s="3"/>
      <c r="Y157" s="3"/>
      <c r="Z157" s="3"/>
    </row>
    <row r="158" ht="12.75" customHeight="1">
      <c r="A158" s="3"/>
      <c r="B158" s="3"/>
      <c r="C158" s="3"/>
      <c r="D158" s="3"/>
      <c r="E158" s="3"/>
      <c r="F158" s="3"/>
      <c r="G158" s="3"/>
      <c r="H158" s="3"/>
      <c r="I158" s="3"/>
      <c r="J158" s="3"/>
      <c r="K158" s="3"/>
      <c r="L158" s="3"/>
      <c r="M158" s="3"/>
      <c r="N158" s="3"/>
      <c r="O158" s="3"/>
      <c r="P158" s="3"/>
      <c r="Q158" s="3"/>
      <c r="R158" s="5"/>
      <c r="S158" s="3"/>
      <c r="T158" s="3"/>
      <c r="U158" s="3"/>
      <c r="V158" s="3"/>
      <c r="W158" s="3"/>
      <c r="X158" s="3"/>
      <c r="Y158" s="3"/>
      <c r="Z158" s="3"/>
    </row>
    <row r="159" ht="12.75" customHeight="1">
      <c r="A159" s="3"/>
      <c r="B159" s="3"/>
      <c r="C159" s="3"/>
      <c r="D159" s="3"/>
      <c r="E159" s="3"/>
      <c r="F159" s="3"/>
      <c r="G159" s="3"/>
      <c r="H159" s="3"/>
      <c r="I159" s="3"/>
      <c r="J159" s="3"/>
      <c r="K159" s="3"/>
      <c r="L159" s="3"/>
      <c r="M159" s="3"/>
      <c r="N159" s="3"/>
      <c r="O159" s="3"/>
      <c r="P159" s="3"/>
      <c r="Q159" s="3"/>
      <c r="R159" s="5"/>
      <c r="S159" s="3"/>
      <c r="T159" s="3"/>
      <c r="U159" s="3"/>
      <c r="V159" s="3"/>
      <c r="W159" s="3"/>
      <c r="X159" s="3"/>
      <c r="Y159" s="3"/>
      <c r="Z159" s="3"/>
    </row>
    <row r="160" ht="12.75" customHeight="1">
      <c r="A160" s="3"/>
      <c r="B160" s="3"/>
      <c r="C160" s="3"/>
      <c r="D160" s="3"/>
      <c r="E160" s="3"/>
      <c r="F160" s="3"/>
      <c r="G160" s="3"/>
      <c r="H160" s="3"/>
      <c r="I160" s="3"/>
      <c r="J160" s="3"/>
      <c r="K160" s="3"/>
      <c r="L160" s="3"/>
      <c r="M160" s="3"/>
      <c r="N160" s="3"/>
      <c r="O160" s="3"/>
      <c r="P160" s="3"/>
      <c r="Q160" s="3"/>
      <c r="R160" s="5"/>
      <c r="S160" s="3"/>
      <c r="T160" s="3"/>
      <c r="U160" s="3"/>
      <c r="V160" s="3"/>
      <c r="W160" s="3"/>
      <c r="X160" s="3"/>
      <c r="Y160" s="3"/>
      <c r="Z160" s="3"/>
    </row>
    <row r="161" ht="12.75" customHeight="1">
      <c r="A161" s="3"/>
      <c r="B161" s="3"/>
      <c r="C161" s="3"/>
      <c r="D161" s="3"/>
      <c r="E161" s="3"/>
      <c r="F161" s="3"/>
      <c r="G161" s="3"/>
      <c r="H161" s="3"/>
      <c r="I161" s="3"/>
      <c r="J161" s="3"/>
      <c r="K161" s="3"/>
      <c r="L161" s="3"/>
      <c r="M161" s="3"/>
      <c r="N161" s="3"/>
      <c r="O161" s="3"/>
      <c r="P161" s="3"/>
      <c r="Q161" s="3"/>
      <c r="R161" s="5"/>
      <c r="S161" s="3"/>
      <c r="T161" s="3"/>
      <c r="U161" s="3"/>
      <c r="V161" s="3"/>
      <c r="W161" s="3"/>
      <c r="X161" s="3"/>
      <c r="Y161" s="3"/>
      <c r="Z161" s="3"/>
    </row>
    <row r="162" ht="12.75" customHeight="1">
      <c r="A162" s="3"/>
      <c r="B162" s="3"/>
      <c r="C162" s="3"/>
      <c r="D162" s="3"/>
      <c r="E162" s="3"/>
      <c r="F162" s="3"/>
      <c r="G162" s="3"/>
      <c r="H162" s="3"/>
      <c r="I162" s="3"/>
      <c r="J162" s="3"/>
      <c r="K162" s="3"/>
      <c r="L162" s="3"/>
      <c r="M162" s="3"/>
      <c r="N162" s="3"/>
      <c r="O162" s="3"/>
      <c r="P162" s="3"/>
      <c r="Q162" s="3"/>
      <c r="R162" s="5"/>
      <c r="S162" s="3"/>
      <c r="T162" s="3"/>
      <c r="U162" s="3"/>
      <c r="V162" s="3"/>
      <c r="W162" s="3"/>
      <c r="X162" s="3"/>
      <c r="Y162" s="3"/>
      <c r="Z162" s="3"/>
    </row>
    <row r="163" ht="12.75" customHeight="1">
      <c r="A163" s="3"/>
      <c r="B163" s="3"/>
      <c r="C163" s="3"/>
      <c r="D163" s="3"/>
      <c r="E163" s="3"/>
      <c r="F163" s="3"/>
      <c r="G163" s="3"/>
      <c r="H163" s="3"/>
      <c r="I163" s="3"/>
      <c r="J163" s="3"/>
      <c r="K163" s="3"/>
      <c r="L163" s="3"/>
      <c r="M163" s="3"/>
      <c r="N163" s="3"/>
      <c r="O163" s="3"/>
      <c r="P163" s="3"/>
      <c r="Q163" s="3"/>
      <c r="R163" s="5"/>
      <c r="S163" s="3"/>
      <c r="T163" s="3"/>
      <c r="U163" s="3"/>
      <c r="V163" s="3"/>
      <c r="W163" s="3"/>
      <c r="X163" s="3"/>
      <c r="Y163" s="3"/>
      <c r="Z163" s="3"/>
    </row>
    <row r="164" ht="12.75" customHeight="1">
      <c r="A164" s="3"/>
      <c r="B164" s="3"/>
      <c r="C164" s="3"/>
      <c r="D164" s="3"/>
      <c r="E164" s="3"/>
      <c r="F164" s="3"/>
      <c r="G164" s="3"/>
      <c r="H164" s="3"/>
      <c r="I164" s="3"/>
      <c r="J164" s="3"/>
      <c r="K164" s="3"/>
      <c r="L164" s="3"/>
      <c r="M164" s="3"/>
      <c r="N164" s="3"/>
      <c r="O164" s="3"/>
      <c r="P164" s="3"/>
      <c r="Q164" s="3"/>
      <c r="R164" s="5"/>
      <c r="S164" s="3"/>
      <c r="T164" s="3"/>
      <c r="U164" s="3"/>
      <c r="V164" s="3"/>
      <c r="W164" s="3"/>
      <c r="X164" s="3"/>
      <c r="Y164" s="3"/>
      <c r="Z164" s="3"/>
    </row>
    <row r="165" ht="12.75" customHeight="1">
      <c r="A165" s="3"/>
      <c r="B165" s="3"/>
      <c r="C165" s="3"/>
      <c r="D165" s="3"/>
      <c r="E165" s="3"/>
      <c r="F165" s="3"/>
      <c r="G165" s="3"/>
      <c r="H165" s="3"/>
      <c r="I165" s="3"/>
      <c r="J165" s="3"/>
      <c r="K165" s="3"/>
      <c r="L165" s="3"/>
      <c r="M165" s="3"/>
      <c r="N165" s="3"/>
      <c r="O165" s="3"/>
      <c r="P165" s="3"/>
      <c r="Q165" s="3"/>
      <c r="R165" s="5"/>
      <c r="S165" s="3"/>
      <c r="T165" s="3"/>
      <c r="U165" s="3"/>
      <c r="V165" s="3"/>
      <c r="W165" s="3"/>
      <c r="X165" s="3"/>
      <c r="Y165" s="3"/>
      <c r="Z165" s="3"/>
    </row>
    <row r="166" ht="12.75" customHeight="1">
      <c r="A166" s="3"/>
      <c r="B166" s="3"/>
      <c r="C166" s="3"/>
      <c r="D166" s="3"/>
      <c r="E166" s="3"/>
      <c r="F166" s="3"/>
      <c r="G166" s="3"/>
      <c r="H166" s="3"/>
      <c r="I166" s="3"/>
      <c r="J166" s="3"/>
      <c r="K166" s="3"/>
      <c r="L166" s="3"/>
      <c r="M166" s="3"/>
      <c r="N166" s="3"/>
      <c r="O166" s="3"/>
      <c r="P166" s="3"/>
      <c r="Q166" s="3"/>
      <c r="R166" s="5"/>
      <c r="S166" s="3"/>
      <c r="T166" s="3"/>
      <c r="U166" s="3"/>
      <c r="V166" s="3"/>
      <c r="W166" s="3"/>
      <c r="X166" s="3"/>
      <c r="Y166" s="3"/>
      <c r="Z166" s="3"/>
    </row>
    <row r="167" ht="12.75" customHeight="1">
      <c r="A167" s="3"/>
      <c r="B167" s="3"/>
      <c r="C167" s="3"/>
      <c r="D167" s="3"/>
      <c r="E167" s="3"/>
      <c r="F167" s="3"/>
      <c r="G167" s="3"/>
      <c r="H167" s="3"/>
      <c r="I167" s="3"/>
      <c r="J167" s="3"/>
      <c r="K167" s="3"/>
      <c r="L167" s="3"/>
      <c r="M167" s="3"/>
      <c r="N167" s="3"/>
      <c r="O167" s="3"/>
      <c r="P167" s="3"/>
      <c r="Q167" s="3"/>
      <c r="R167" s="5"/>
      <c r="S167" s="3"/>
      <c r="T167" s="3"/>
      <c r="U167" s="3"/>
      <c r="V167" s="3"/>
      <c r="W167" s="3"/>
      <c r="X167" s="3"/>
      <c r="Y167" s="3"/>
      <c r="Z167" s="3"/>
    </row>
    <row r="168" ht="12.75" customHeight="1">
      <c r="A168" s="3"/>
      <c r="B168" s="3"/>
      <c r="C168" s="3"/>
      <c r="D168" s="3"/>
      <c r="E168" s="3"/>
      <c r="F168" s="3"/>
      <c r="G168" s="3"/>
      <c r="H168" s="3"/>
      <c r="I168" s="3"/>
      <c r="J168" s="3"/>
      <c r="K168" s="3"/>
      <c r="L168" s="3"/>
      <c r="M168" s="3"/>
      <c r="N168" s="3"/>
      <c r="O168" s="3"/>
      <c r="P168" s="3"/>
      <c r="Q168" s="3"/>
      <c r="R168" s="5"/>
      <c r="S168" s="3"/>
      <c r="T168" s="3"/>
      <c r="U168" s="3"/>
      <c r="V168" s="3"/>
      <c r="W168" s="3"/>
      <c r="X168" s="3"/>
      <c r="Y168" s="3"/>
      <c r="Z168" s="3"/>
    </row>
    <row r="169" ht="12.75" customHeight="1">
      <c r="A169" s="3"/>
      <c r="B169" s="3"/>
      <c r="C169" s="3"/>
      <c r="D169" s="3"/>
      <c r="E169" s="3"/>
      <c r="F169" s="3"/>
      <c r="G169" s="3"/>
      <c r="H169" s="3"/>
      <c r="I169" s="3"/>
      <c r="J169" s="3"/>
      <c r="K169" s="3"/>
      <c r="L169" s="3"/>
      <c r="M169" s="3"/>
      <c r="N169" s="3"/>
      <c r="O169" s="3"/>
      <c r="P169" s="3"/>
      <c r="Q169" s="3"/>
      <c r="R169" s="5"/>
      <c r="S169" s="3"/>
      <c r="T169" s="3"/>
      <c r="U169" s="3"/>
      <c r="V169" s="3"/>
      <c r="W169" s="3"/>
      <c r="X169" s="3"/>
      <c r="Y169" s="3"/>
      <c r="Z169" s="3"/>
    </row>
    <row r="170" ht="12.75" customHeight="1">
      <c r="A170" s="3"/>
      <c r="B170" s="3"/>
      <c r="C170" s="3"/>
      <c r="D170" s="3"/>
      <c r="E170" s="3"/>
      <c r="F170" s="3"/>
      <c r="G170" s="3"/>
      <c r="H170" s="3"/>
      <c r="I170" s="3"/>
      <c r="J170" s="3"/>
      <c r="K170" s="3"/>
      <c r="L170" s="3"/>
      <c r="M170" s="3"/>
      <c r="N170" s="3"/>
      <c r="O170" s="3"/>
      <c r="P170" s="3"/>
      <c r="Q170" s="3"/>
      <c r="R170" s="5"/>
      <c r="S170" s="3"/>
      <c r="T170" s="3"/>
      <c r="U170" s="3"/>
      <c r="V170" s="3"/>
      <c r="W170" s="3"/>
      <c r="X170" s="3"/>
      <c r="Y170" s="3"/>
      <c r="Z170" s="3"/>
    </row>
    <row r="171" ht="12.75" customHeight="1">
      <c r="A171" s="3"/>
      <c r="B171" s="3"/>
      <c r="C171" s="3"/>
      <c r="D171" s="3"/>
      <c r="E171" s="3"/>
      <c r="F171" s="3"/>
      <c r="G171" s="3"/>
      <c r="H171" s="3"/>
      <c r="I171" s="3"/>
      <c r="J171" s="3"/>
      <c r="K171" s="3"/>
      <c r="L171" s="3"/>
      <c r="M171" s="3"/>
      <c r="N171" s="3"/>
      <c r="O171" s="3"/>
      <c r="P171" s="3"/>
      <c r="Q171" s="3"/>
      <c r="R171" s="5"/>
      <c r="S171" s="3"/>
      <c r="T171" s="3"/>
      <c r="U171" s="3"/>
      <c r="V171" s="3"/>
      <c r="W171" s="3"/>
      <c r="X171" s="3"/>
      <c r="Y171" s="3"/>
      <c r="Z171" s="3"/>
    </row>
    <row r="172" ht="12.75" customHeight="1">
      <c r="A172" s="3"/>
      <c r="B172" s="3"/>
      <c r="C172" s="3"/>
      <c r="D172" s="3"/>
      <c r="E172" s="3"/>
      <c r="F172" s="3"/>
      <c r="G172" s="3"/>
      <c r="H172" s="3"/>
      <c r="I172" s="3"/>
      <c r="J172" s="3"/>
      <c r="K172" s="3"/>
      <c r="L172" s="3"/>
      <c r="M172" s="3"/>
      <c r="N172" s="3"/>
      <c r="O172" s="3"/>
      <c r="P172" s="3"/>
      <c r="Q172" s="3"/>
      <c r="R172" s="5"/>
      <c r="S172" s="3"/>
      <c r="T172" s="3"/>
      <c r="U172" s="3"/>
      <c r="V172" s="3"/>
      <c r="W172" s="3"/>
      <c r="X172" s="3"/>
      <c r="Y172" s="3"/>
      <c r="Z172" s="3"/>
    </row>
    <row r="173" ht="12.75" customHeight="1">
      <c r="A173" s="3"/>
      <c r="B173" s="3"/>
      <c r="C173" s="3"/>
      <c r="D173" s="3"/>
      <c r="E173" s="3"/>
      <c r="F173" s="3"/>
      <c r="G173" s="3"/>
      <c r="H173" s="3"/>
      <c r="I173" s="3"/>
      <c r="J173" s="3"/>
      <c r="K173" s="3"/>
      <c r="L173" s="3"/>
      <c r="M173" s="3"/>
      <c r="N173" s="3"/>
      <c r="O173" s="3"/>
      <c r="P173" s="3"/>
      <c r="Q173" s="3"/>
      <c r="R173" s="5"/>
      <c r="S173" s="3"/>
      <c r="T173" s="3"/>
      <c r="U173" s="3"/>
      <c r="V173" s="3"/>
      <c r="W173" s="3"/>
      <c r="X173" s="3"/>
      <c r="Y173" s="3"/>
      <c r="Z173" s="3"/>
    </row>
    <row r="174" ht="12.75" customHeight="1">
      <c r="A174" s="3"/>
      <c r="B174" s="3"/>
      <c r="C174" s="3"/>
      <c r="D174" s="3"/>
      <c r="E174" s="3"/>
      <c r="F174" s="3"/>
      <c r="G174" s="3"/>
      <c r="H174" s="3"/>
      <c r="I174" s="3"/>
      <c r="J174" s="3"/>
      <c r="K174" s="3"/>
      <c r="L174" s="3"/>
      <c r="M174" s="3"/>
      <c r="N174" s="3"/>
      <c r="O174" s="3"/>
      <c r="P174" s="3"/>
      <c r="Q174" s="3"/>
      <c r="R174" s="5"/>
      <c r="S174" s="3"/>
      <c r="T174" s="3"/>
      <c r="U174" s="3"/>
      <c r="V174" s="3"/>
      <c r="W174" s="3"/>
      <c r="X174" s="3"/>
      <c r="Y174" s="3"/>
      <c r="Z174" s="3"/>
    </row>
    <row r="175" ht="12.75" customHeight="1">
      <c r="A175" s="3"/>
      <c r="B175" s="3"/>
      <c r="C175" s="3"/>
      <c r="D175" s="3"/>
      <c r="E175" s="3"/>
      <c r="F175" s="3"/>
      <c r="G175" s="3"/>
      <c r="H175" s="3"/>
      <c r="I175" s="3"/>
      <c r="J175" s="3"/>
      <c r="K175" s="3"/>
      <c r="L175" s="3"/>
      <c r="M175" s="3"/>
      <c r="N175" s="3"/>
      <c r="O175" s="3"/>
      <c r="P175" s="3"/>
      <c r="Q175" s="3"/>
      <c r="R175" s="5"/>
      <c r="S175" s="3"/>
      <c r="T175" s="3"/>
      <c r="U175" s="3"/>
      <c r="V175" s="3"/>
      <c r="W175" s="3"/>
      <c r="X175" s="3"/>
      <c r="Y175" s="3"/>
      <c r="Z175" s="3"/>
    </row>
    <row r="176" ht="12.75" customHeight="1">
      <c r="A176" s="3"/>
      <c r="B176" s="3"/>
      <c r="C176" s="3"/>
      <c r="D176" s="3"/>
      <c r="E176" s="3"/>
      <c r="F176" s="3"/>
      <c r="G176" s="3"/>
      <c r="H176" s="3"/>
      <c r="I176" s="3"/>
      <c r="J176" s="3"/>
      <c r="K176" s="3"/>
      <c r="L176" s="3"/>
      <c r="M176" s="3"/>
      <c r="N176" s="3"/>
      <c r="O176" s="3"/>
      <c r="P176" s="3"/>
      <c r="Q176" s="3"/>
      <c r="R176" s="5"/>
      <c r="S176" s="3"/>
      <c r="T176" s="3"/>
      <c r="U176" s="3"/>
      <c r="V176" s="3"/>
      <c r="W176" s="3"/>
      <c r="X176" s="3"/>
      <c r="Y176" s="3"/>
      <c r="Z176" s="3"/>
    </row>
    <row r="177" ht="12.75" customHeight="1">
      <c r="A177" s="3"/>
      <c r="B177" s="3"/>
      <c r="C177" s="3"/>
      <c r="D177" s="3"/>
      <c r="E177" s="3"/>
      <c r="F177" s="3"/>
      <c r="G177" s="3"/>
      <c r="H177" s="3"/>
      <c r="I177" s="3"/>
      <c r="J177" s="3"/>
      <c r="K177" s="3"/>
      <c r="L177" s="3"/>
      <c r="M177" s="3"/>
      <c r="N177" s="3"/>
      <c r="O177" s="3"/>
      <c r="P177" s="3"/>
      <c r="Q177" s="3"/>
      <c r="R177" s="5"/>
      <c r="S177" s="3"/>
      <c r="T177" s="3"/>
      <c r="U177" s="3"/>
      <c r="V177" s="3"/>
      <c r="W177" s="3"/>
      <c r="X177" s="3"/>
      <c r="Y177" s="3"/>
      <c r="Z177" s="3"/>
    </row>
    <row r="178" ht="12.75" customHeight="1">
      <c r="A178" s="3"/>
      <c r="B178" s="3"/>
      <c r="C178" s="3"/>
      <c r="D178" s="3"/>
      <c r="E178" s="3"/>
      <c r="F178" s="3"/>
      <c r="G178" s="3"/>
      <c r="H178" s="3"/>
      <c r="I178" s="3"/>
      <c r="J178" s="3"/>
      <c r="K178" s="3"/>
      <c r="L178" s="3"/>
      <c r="M178" s="3"/>
      <c r="N178" s="3"/>
      <c r="O178" s="3"/>
      <c r="P178" s="3"/>
      <c r="Q178" s="3"/>
      <c r="R178" s="5"/>
      <c r="S178" s="3"/>
      <c r="T178" s="3"/>
      <c r="U178" s="3"/>
      <c r="V178" s="3"/>
      <c r="W178" s="3"/>
      <c r="X178" s="3"/>
      <c r="Y178" s="3"/>
      <c r="Z178" s="3"/>
    </row>
    <row r="179" ht="12.75" customHeight="1">
      <c r="A179" s="3"/>
      <c r="B179" s="3"/>
      <c r="C179" s="3"/>
      <c r="D179" s="3"/>
      <c r="E179" s="3"/>
      <c r="F179" s="3"/>
      <c r="G179" s="3"/>
      <c r="H179" s="3"/>
      <c r="I179" s="3"/>
      <c r="J179" s="3"/>
      <c r="K179" s="3"/>
      <c r="L179" s="3"/>
      <c r="M179" s="3"/>
      <c r="N179" s="3"/>
      <c r="O179" s="3"/>
      <c r="P179" s="3"/>
      <c r="Q179" s="3"/>
      <c r="R179" s="5"/>
      <c r="S179" s="3"/>
      <c r="T179" s="3"/>
      <c r="U179" s="3"/>
      <c r="V179" s="3"/>
      <c r="W179" s="3"/>
      <c r="X179" s="3"/>
      <c r="Y179" s="3"/>
      <c r="Z179" s="3"/>
    </row>
    <row r="180" ht="12.75" customHeight="1">
      <c r="A180" s="3"/>
      <c r="B180" s="3"/>
      <c r="C180" s="3"/>
      <c r="D180" s="3"/>
      <c r="E180" s="3"/>
      <c r="F180" s="3"/>
      <c r="G180" s="3"/>
      <c r="H180" s="3"/>
      <c r="I180" s="3"/>
      <c r="J180" s="3"/>
      <c r="K180" s="3"/>
      <c r="L180" s="3"/>
      <c r="M180" s="3"/>
      <c r="N180" s="3"/>
      <c r="O180" s="3"/>
      <c r="P180" s="3"/>
      <c r="Q180" s="3"/>
      <c r="R180" s="5"/>
      <c r="S180" s="3"/>
      <c r="T180" s="3"/>
      <c r="U180" s="3"/>
      <c r="V180" s="3"/>
      <c r="W180" s="3"/>
      <c r="X180" s="3"/>
      <c r="Y180" s="3"/>
      <c r="Z180" s="3"/>
    </row>
    <row r="181" ht="12.75" customHeight="1">
      <c r="A181" s="3"/>
      <c r="B181" s="3"/>
      <c r="C181" s="3"/>
      <c r="D181" s="3"/>
      <c r="E181" s="3"/>
      <c r="F181" s="3"/>
      <c r="G181" s="3"/>
      <c r="H181" s="3"/>
      <c r="I181" s="3"/>
      <c r="J181" s="3"/>
      <c r="K181" s="3"/>
      <c r="L181" s="3"/>
      <c r="M181" s="3"/>
      <c r="N181" s="3"/>
      <c r="O181" s="3"/>
      <c r="P181" s="3"/>
      <c r="Q181" s="3"/>
      <c r="R181" s="5"/>
      <c r="S181" s="3"/>
      <c r="T181" s="3"/>
      <c r="U181" s="3"/>
      <c r="V181" s="3"/>
      <c r="W181" s="3"/>
      <c r="X181" s="3"/>
      <c r="Y181" s="3"/>
      <c r="Z181" s="3"/>
    </row>
    <row r="182" ht="12.75" customHeight="1">
      <c r="A182" s="3"/>
      <c r="B182" s="3"/>
      <c r="C182" s="3"/>
      <c r="D182" s="3"/>
      <c r="E182" s="3"/>
      <c r="F182" s="3"/>
      <c r="G182" s="3"/>
      <c r="H182" s="3"/>
      <c r="I182" s="3"/>
      <c r="J182" s="3"/>
      <c r="K182" s="3"/>
      <c r="L182" s="3"/>
      <c r="M182" s="3"/>
      <c r="N182" s="3"/>
      <c r="O182" s="3"/>
      <c r="P182" s="3"/>
      <c r="Q182" s="3"/>
      <c r="R182" s="5"/>
      <c r="S182" s="3"/>
      <c r="T182" s="3"/>
      <c r="U182" s="3"/>
      <c r="V182" s="3"/>
      <c r="W182" s="3"/>
      <c r="X182" s="3"/>
      <c r="Y182" s="3"/>
      <c r="Z182" s="3"/>
    </row>
    <row r="183" ht="12.75" customHeight="1">
      <c r="A183" s="3"/>
      <c r="B183" s="3"/>
      <c r="C183" s="3"/>
      <c r="D183" s="3"/>
      <c r="E183" s="3"/>
      <c r="F183" s="3"/>
      <c r="G183" s="3"/>
      <c r="H183" s="3"/>
      <c r="I183" s="3"/>
      <c r="J183" s="3"/>
      <c r="K183" s="3"/>
      <c r="L183" s="3"/>
      <c r="M183" s="3"/>
      <c r="N183" s="3"/>
      <c r="O183" s="3"/>
      <c r="P183" s="3"/>
      <c r="Q183" s="3"/>
      <c r="R183" s="5"/>
      <c r="S183" s="3"/>
      <c r="T183" s="3"/>
      <c r="U183" s="3"/>
      <c r="V183" s="3"/>
      <c r="W183" s="3"/>
      <c r="X183" s="3"/>
      <c r="Y183" s="3"/>
      <c r="Z183" s="3"/>
    </row>
    <row r="184" ht="12.75" customHeight="1">
      <c r="A184" s="3"/>
      <c r="B184" s="3"/>
      <c r="C184" s="3"/>
      <c r="D184" s="3"/>
      <c r="E184" s="3"/>
      <c r="F184" s="3"/>
      <c r="G184" s="3"/>
      <c r="H184" s="3"/>
      <c r="I184" s="3"/>
      <c r="J184" s="3"/>
      <c r="K184" s="3"/>
      <c r="L184" s="3"/>
      <c r="M184" s="3"/>
      <c r="N184" s="3"/>
      <c r="O184" s="3"/>
      <c r="P184" s="3"/>
      <c r="Q184" s="3"/>
      <c r="R184" s="5"/>
      <c r="S184" s="3"/>
      <c r="T184" s="3"/>
      <c r="U184" s="3"/>
      <c r="V184" s="3"/>
      <c r="W184" s="3"/>
      <c r="X184" s="3"/>
      <c r="Y184" s="3"/>
      <c r="Z184" s="3"/>
    </row>
    <row r="185" ht="12.75" customHeight="1">
      <c r="A185" s="3"/>
      <c r="B185" s="3"/>
      <c r="C185" s="3"/>
      <c r="D185" s="3"/>
      <c r="E185" s="3"/>
      <c r="F185" s="3"/>
      <c r="G185" s="3"/>
      <c r="H185" s="3"/>
      <c r="I185" s="3"/>
      <c r="J185" s="3"/>
      <c r="K185" s="3"/>
      <c r="L185" s="3"/>
      <c r="M185" s="3"/>
      <c r="N185" s="3"/>
      <c r="O185" s="3"/>
      <c r="P185" s="3"/>
      <c r="Q185" s="3"/>
      <c r="R185" s="5"/>
      <c r="S185" s="3"/>
      <c r="T185" s="3"/>
      <c r="U185" s="3"/>
      <c r="V185" s="3"/>
      <c r="W185" s="3"/>
      <c r="X185" s="3"/>
      <c r="Y185" s="3"/>
      <c r="Z185" s="3"/>
    </row>
    <row r="186" ht="12.75" customHeight="1">
      <c r="A186" s="3"/>
      <c r="B186" s="3"/>
      <c r="C186" s="3"/>
      <c r="D186" s="3"/>
      <c r="E186" s="3"/>
      <c r="F186" s="3"/>
      <c r="G186" s="3"/>
      <c r="H186" s="3"/>
      <c r="I186" s="3"/>
      <c r="J186" s="3"/>
      <c r="K186" s="3"/>
      <c r="L186" s="3"/>
      <c r="M186" s="3"/>
      <c r="N186" s="3"/>
      <c r="O186" s="3"/>
      <c r="P186" s="3"/>
      <c r="Q186" s="3"/>
      <c r="R186" s="5"/>
      <c r="S186" s="3"/>
      <c r="T186" s="3"/>
      <c r="U186" s="3"/>
      <c r="V186" s="3"/>
      <c r="W186" s="3"/>
      <c r="X186" s="3"/>
      <c r="Y186" s="3"/>
      <c r="Z186" s="3"/>
    </row>
    <row r="187" ht="12.75" customHeight="1">
      <c r="A187" s="3"/>
      <c r="B187" s="3"/>
      <c r="C187" s="3"/>
      <c r="D187" s="3"/>
      <c r="E187" s="3"/>
      <c r="F187" s="3"/>
      <c r="G187" s="3"/>
      <c r="H187" s="3"/>
      <c r="I187" s="3"/>
      <c r="J187" s="3"/>
      <c r="K187" s="3"/>
      <c r="L187" s="3"/>
      <c r="M187" s="3"/>
      <c r="N187" s="3"/>
      <c r="O187" s="3"/>
      <c r="P187" s="3"/>
      <c r="Q187" s="3"/>
      <c r="R187" s="5"/>
      <c r="S187" s="3"/>
      <c r="T187" s="3"/>
      <c r="U187" s="3"/>
      <c r="V187" s="3"/>
      <c r="W187" s="3"/>
      <c r="X187" s="3"/>
      <c r="Y187" s="3"/>
      <c r="Z187" s="3"/>
    </row>
    <row r="188" ht="12.75" customHeight="1">
      <c r="A188" s="3"/>
      <c r="B188" s="3"/>
      <c r="C188" s="3"/>
      <c r="D188" s="3"/>
      <c r="E188" s="3"/>
      <c r="F188" s="3"/>
      <c r="G188" s="3"/>
      <c r="H188" s="3"/>
      <c r="I188" s="3"/>
      <c r="J188" s="3"/>
      <c r="K188" s="3"/>
      <c r="L188" s="3"/>
      <c r="M188" s="3"/>
      <c r="N188" s="3"/>
      <c r="O188" s="3"/>
      <c r="P188" s="3"/>
      <c r="Q188" s="3"/>
      <c r="R188" s="5"/>
      <c r="S188" s="3"/>
      <c r="T188" s="3"/>
      <c r="U188" s="3"/>
      <c r="V188" s="3"/>
      <c r="W188" s="3"/>
      <c r="X188" s="3"/>
      <c r="Y188" s="3"/>
      <c r="Z188" s="3"/>
    </row>
    <row r="189" ht="12.75" customHeight="1">
      <c r="A189" s="3"/>
      <c r="B189" s="3"/>
      <c r="C189" s="3"/>
      <c r="D189" s="3"/>
      <c r="E189" s="3"/>
      <c r="F189" s="3"/>
      <c r="G189" s="3"/>
      <c r="H189" s="3"/>
      <c r="I189" s="3"/>
      <c r="J189" s="3"/>
      <c r="K189" s="3"/>
      <c r="L189" s="3"/>
      <c r="M189" s="3"/>
      <c r="N189" s="3"/>
      <c r="O189" s="3"/>
      <c r="P189" s="3"/>
      <c r="Q189" s="3"/>
      <c r="R189" s="5"/>
      <c r="S189" s="3"/>
      <c r="T189" s="3"/>
      <c r="U189" s="3"/>
      <c r="V189" s="3"/>
      <c r="W189" s="3"/>
      <c r="X189" s="3"/>
      <c r="Y189" s="3"/>
      <c r="Z189" s="3"/>
    </row>
    <row r="190" ht="12.75" customHeight="1">
      <c r="A190" s="3"/>
      <c r="B190" s="3"/>
      <c r="C190" s="3"/>
      <c r="D190" s="3"/>
      <c r="E190" s="3"/>
      <c r="F190" s="3"/>
      <c r="G190" s="3"/>
      <c r="H190" s="3"/>
      <c r="I190" s="3"/>
      <c r="J190" s="3"/>
      <c r="K190" s="3"/>
      <c r="L190" s="3"/>
      <c r="M190" s="3"/>
      <c r="N190" s="3"/>
      <c r="O190" s="3"/>
      <c r="P190" s="3"/>
      <c r="Q190" s="3"/>
      <c r="R190" s="5"/>
      <c r="S190" s="3"/>
      <c r="T190" s="3"/>
      <c r="U190" s="3"/>
      <c r="V190" s="3"/>
      <c r="W190" s="3"/>
      <c r="X190" s="3"/>
      <c r="Y190" s="3"/>
      <c r="Z190" s="3"/>
    </row>
    <row r="191" ht="12.75" customHeight="1">
      <c r="A191" s="3"/>
      <c r="B191" s="3"/>
      <c r="C191" s="3"/>
      <c r="D191" s="3"/>
      <c r="E191" s="3"/>
      <c r="F191" s="3"/>
      <c r="G191" s="3"/>
      <c r="H191" s="3"/>
      <c r="I191" s="3"/>
      <c r="J191" s="3"/>
      <c r="K191" s="3"/>
      <c r="L191" s="3"/>
      <c r="M191" s="3"/>
      <c r="N191" s="3"/>
      <c r="O191" s="3"/>
      <c r="P191" s="3"/>
      <c r="Q191" s="3"/>
      <c r="R191" s="5"/>
      <c r="S191" s="3"/>
      <c r="T191" s="3"/>
      <c r="U191" s="3"/>
      <c r="V191" s="3"/>
      <c r="W191" s="3"/>
      <c r="X191" s="3"/>
      <c r="Y191" s="3"/>
      <c r="Z191" s="3"/>
    </row>
    <row r="192" ht="12.75" customHeight="1">
      <c r="A192" s="3"/>
      <c r="B192" s="3"/>
      <c r="C192" s="3"/>
      <c r="D192" s="3"/>
      <c r="E192" s="3"/>
      <c r="F192" s="3"/>
      <c r="G192" s="3"/>
      <c r="H192" s="3"/>
      <c r="I192" s="3"/>
      <c r="J192" s="3"/>
      <c r="K192" s="3"/>
      <c r="L192" s="3"/>
      <c r="M192" s="3"/>
      <c r="N192" s="3"/>
      <c r="O192" s="3"/>
      <c r="P192" s="3"/>
      <c r="Q192" s="3"/>
      <c r="R192" s="5"/>
      <c r="S192" s="3"/>
      <c r="T192" s="3"/>
      <c r="U192" s="3"/>
      <c r="V192" s="3"/>
      <c r="W192" s="3"/>
      <c r="X192" s="3"/>
      <c r="Y192" s="3"/>
      <c r="Z192" s="3"/>
    </row>
    <row r="193" ht="12.75" customHeight="1">
      <c r="A193" s="3"/>
      <c r="B193" s="3"/>
      <c r="C193" s="3"/>
      <c r="D193" s="3"/>
      <c r="E193" s="3"/>
      <c r="F193" s="3"/>
      <c r="G193" s="3"/>
      <c r="H193" s="3"/>
      <c r="I193" s="3"/>
      <c r="J193" s="3"/>
      <c r="K193" s="3"/>
      <c r="L193" s="3"/>
      <c r="M193" s="3"/>
      <c r="N193" s="3"/>
      <c r="O193" s="3"/>
      <c r="P193" s="3"/>
      <c r="Q193" s="3"/>
      <c r="R193" s="5"/>
      <c r="S193" s="3"/>
      <c r="T193" s="3"/>
      <c r="U193" s="3"/>
      <c r="V193" s="3"/>
      <c r="W193" s="3"/>
      <c r="X193" s="3"/>
      <c r="Y193" s="3"/>
      <c r="Z193" s="3"/>
    </row>
    <row r="194" ht="12.75" customHeight="1">
      <c r="A194" s="3"/>
      <c r="B194" s="3"/>
      <c r="C194" s="3"/>
      <c r="D194" s="3"/>
      <c r="E194" s="3"/>
      <c r="F194" s="3"/>
      <c r="G194" s="3"/>
      <c r="H194" s="3"/>
      <c r="I194" s="3"/>
      <c r="J194" s="3"/>
      <c r="K194" s="3"/>
      <c r="L194" s="3"/>
      <c r="M194" s="3"/>
      <c r="N194" s="3"/>
      <c r="O194" s="3"/>
      <c r="P194" s="3"/>
      <c r="Q194" s="3"/>
      <c r="R194" s="5"/>
      <c r="S194" s="3"/>
      <c r="T194" s="3"/>
      <c r="U194" s="3"/>
      <c r="V194" s="3"/>
      <c r="W194" s="3"/>
      <c r="X194" s="3"/>
      <c r="Y194" s="3"/>
      <c r="Z194" s="3"/>
    </row>
    <row r="195" ht="12.75" customHeight="1">
      <c r="A195" s="3"/>
      <c r="B195" s="3"/>
      <c r="C195" s="3"/>
      <c r="D195" s="3"/>
      <c r="E195" s="3"/>
      <c r="F195" s="3"/>
      <c r="G195" s="3"/>
      <c r="H195" s="3"/>
      <c r="I195" s="3"/>
      <c r="J195" s="3"/>
      <c r="K195" s="3"/>
      <c r="L195" s="3"/>
      <c r="M195" s="3"/>
      <c r="N195" s="3"/>
      <c r="O195" s="3"/>
      <c r="P195" s="3"/>
      <c r="Q195" s="3"/>
      <c r="R195" s="5"/>
      <c r="S195" s="3"/>
      <c r="T195" s="3"/>
      <c r="U195" s="3"/>
      <c r="V195" s="3"/>
      <c r="W195" s="3"/>
      <c r="X195" s="3"/>
      <c r="Y195" s="3"/>
      <c r="Z195" s="3"/>
    </row>
    <row r="196" ht="12.75" customHeight="1">
      <c r="A196" s="3"/>
      <c r="B196" s="3"/>
      <c r="C196" s="3"/>
      <c r="D196" s="3"/>
      <c r="E196" s="3"/>
      <c r="F196" s="3"/>
      <c r="G196" s="3"/>
      <c r="H196" s="3"/>
      <c r="I196" s="3"/>
      <c r="J196" s="3"/>
      <c r="K196" s="3"/>
      <c r="L196" s="3"/>
      <c r="M196" s="3"/>
      <c r="N196" s="3"/>
      <c r="O196" s="3"/>
      <c r="P196" s="3"/>
      <c r="Q196" s="3"/>
      <c r="R196" s="5"/>
      <c r="S196" s="3"/>
      <c r="T196" s="3"/>
      <c r="U196" s="3"/>
      <c r="V196" s="3"/>
      <c r="W196" s="3"/>
      <c r="X196" s="3"/>
      <c r="Y196" s="3"/>
      <c r="Z196" s="3"/>
    </row>
    <row r="197" ht="12.75" customHeight="1">
      <c r="A197" s="3"/>
      <c r="B197" s="3"/>
      <c r="C197" s="3"/>
      <c r="D197" s="3"/>
      <c r="E197" s="3"/>
      <c r="F197" s="3"/>
      <c r="G197" s="3"/>
      <c r="H197" s="3"/>
      <c r="I197" s="3"/>
      <c r="J197" s="3"/>
      <c r="K197" s="3"/>
      <c r="L197" s="3"/>
      <c r="M197" s="3"/>
      <c r="N197" s="3"/>
      <c r="O197" s="3"/>
      <c r="P197" s="3"/>
      <c r="Q197" s="3"/>
      <c r="R197" s="5"/>
      <c r="S197" s="3"/>
      <c r="T197" s="3"/>
      <c r="U197" s="3"/>
      <c r="V197" s="3"/>
      <c r="W197" s="3"/>
      <c r="X197" s="3"/>
      <c r="Y197" s="3"/>
      <c r="Z197" s="3"/>
    </row>
    <row r="198" ht="12.75" customHeight="1">
      <c r="A198" s="3"/>
      <c r="B198" s="3"/>
      <c r="C198" s="3"/>
      <c r="D198" s="3"/>
      <c r="E198" s="3"/>
      <c r="F198" s="3"/>
      <c r="G198" s="3"/>
      <c r="H198" s="3"/>
      <c r="I198" s="3"/>
      <c r="J198" s="3"/>
      <c r="K198" s="3"/>
      <c r="L198" s="3"/>
      <c r="M198" s="3"/>
      <c r="N198" s="3"/>
      <c r="O198" s="3"/>
      <c r="P198" s="3"/>
      <c r="Q198" s="3"/>
      <c r="R198" s="5"/>
      <c r="S198" s="3"/>
      <c r="T198" s="3"/>
      <c r="U198" s="3"/>
      <c r="V198" s="3"/>
      <c r="W198" s="3"/>
      <c r="X198" s="3"/>
      <c r="Y198" s="3"/>
      <c r="Z198" s="3"/>
    </row>
    <row r="199" ht="12.75" customHeight="1">
      <c r="A199" s="3"/>
      <c r="B199" s="3"/>
      <c r="C199" s="3"/>
      <c r="D199" s="3"/>
      <c r="E199" s="3"/>
      <c r="F199" s="3"/>
      <c r="G199" s="3"/>
      <c r="H199" s="3"/>
      <c r="I199" s="3"/>
      <c r="J199" s="3"/>
      <c r="K199" s="3"/>
      <c r="L199" s="3"/>
      <c r="M199" s="3"/>
      <c r="N199" s="3"/>
      <c r="O199" s="3"/>
      <c r="P199" s="3"/>
      <c r="Q199" s="3"/>
      <c r="R199" s="5"/>
      <c r="S199" s="3"/>
      <c r="T199" s="3"/>
      <c r="U199" s="3"/>
      <c r="V199" s="3"/>
      <c r="W199" s="3"/>
      <c r="X199" s="3"/>
      <c r="Y199" s="3"/>
      <c r="Z199" s="3"/>
    </row>
    <row r="200" ht="12.75" customHeight="1">
      <c r="A200" s="3"/>
      <c r="B200" s="3"/>
      <c r="C200" s="3"/>
      <c r="D200" s="3"/>
      <c r="E200" s="3"/>
      <c r="F200" s="3"/>
      <c r="G200" s="3"/>
      <c r="H200" s="3"/>
      <c r="I200" s="3"/>
      <c r="J200" s="3"/>
      <c r="K200" s="3"/>
      <c r="L200" s="3"/>
      <c r="M200" s="3"/>
      <c r="N200" s="3"/>
      <c r="O200" s="3"/>
      <c r="P200" s="3"/>
      <c r="Q200" s="3"/>
      <c r="R200" s="5"/>
      <c r="S200" s="3"/>
      <c r="T200" s="3"/>
      <c r="U200" s="3"/>
      <c r="V200" s="3"/>
      <c r="W200" s="3"/>
      <c r="X200" s="3"/>
      <c r="Y200" s="3"/>
      <c r="Z200" s="3"/>
    </row>
    <row r="201" ht="12.75" customHeight="1">
      <c r="A201" s="3"/>
      <c r="B201" s="3"/>
      <c r="C201" s="3"/>
      <c r="D201" s="3"/>
      <c r="E201" s="3"/>
      <c r="F201" s="3"/>
      <c r="G201" s="3"/>
      <c r="H201" s="3"/>
      <c r="I201" s="3"/>
      <c r="J201" s="3"/>
      <c r="K201" s="3"/>
      <c r="L201" s="3"/>
      <c r="M201" s="3"/>
      <c r="N201" s="3"/>
      <c r="O201" s="3"/>
      <c r="P201" s="3"/>
      <c r="Q201" s="3"/>
      <c r="R201" s="5"/>
      <c r="S201" s="3"/>
      <c r="T201" s="3"/>
      <c r="U201" s="3"/>
      <c r="V201" s="3"/>
      <c r="W201" s="3"/>
      <c r="X201" s="3"/>
      <c r="Y201" s="3"/>
      <c r="Z201" s="3"/>
    </row>
    <row r="202" ht="12.75" customHeight="1">
      <c r="A202" s="3"/>
      <c r="B202" s="3"/>
      <c r="C202" s="3"/>
      <c r="D202" s="3"/>
      <c r="E202" s="3"/>
      <c r="F202" s="3"/>
      <c r="G202" s="3"/>
      <c r="H202" s="3"/>
      <c r="I202" s="3"/>
      <c r="J202" s="3"/>
      <c r="K202" s="3"/>
      <c r="L202" s="3"/>
      <c r="M202" s="3"/>
      <c r="N202" s="3"/>
      <c r="O202" s="3"/>
      <c r="P202" s="3"/>
      <c r="Q202" s="3"/>
      <c r="R202" s="5"/>
      <c r="S202" s="3"/>
      <c r="T202" s="3"/>
      <c r="U202" s="3"/>
      <c r="V202" s="3"/>
      <c r="W202" s="3"/>
      <c r="X202" s="3"/>
      <c r="Y202" s="3"/>
      <c r="Z202" s="3"/>
    </row>
    <row r="203" ht="12.75" customHeight="1">
      <c r="A203" s="3"/>
      <c r="B203" s="3"/>
      <c r="C203" s="3"/>
      <c r="D203" s="3"/>
      <c r="E203" s="3"/>
      <c r="F203" s="3"/>
      <c r="G203" s="3"/>
      <c r="H203" s="3"/>
      <c r="I203" s="3"/>
      <c r="J203" s="3"/>
      <c r="K203" s="3"/>
      <c r="L203" s="3"/>
      <c r="M203" s="3"/>
      <c r="N203" s="3"/>
      <c r="O203" s="3"/>
      <c r="P203" s="3"/>
      <c r="Q203" s="3"/>
      <c r="R203" s="5"/>
      <c r="S203" s="3"/>
      <c r="T203" s="3"/>
      <c r="U203" s="3"/>
      <c r="V203" s="3"/>
      <c r="W203" s="3"/>
      <c r="X203" s="3"/>
      <c r="Y203" s="3"/>
      <c r="Z203" s="3"/>
    </row>
    <row r="204" ht="12.75" customHeight="1">
      <c r="A204" s="3"/>
      <c r="B204" s="3"/>
      <c r="C204" s="3"/>
      <c r="D204" s="3"/>
      <c r="E204" s="3"/>
      <c r="F204" s="3"/>
      <c r="G204" s="3"/>
      <c r="H204" s="3"/>
      <c r="I204" s="3"/>
      <c r="J204" s="3"/>
      <c r="K204" s="3"/>
      <c r="L204" s="3"/>
      <c r="M204" s="3"/>
      <c r="N204" s="3"/>
      <c r="O204" s="3"/>
      <c r="P204" s="3"/>
      <c r="Q204" s="3"/>
      <c r="R204" s="5"/>
      <c r="S204" s="3"/>
      <c r="T204" s="3"/>
      <c r="U204" s="3"/>
      <c r="V204" s="3"/>
      <c r="W204" s="3"/>
      <c r="X204" s="3"/>
      <c r="Y204" s="3"/>
      <c r="Z204" s="3"/>
    </row>
    <row r="205" ht="12.75" customHeight="1">
      <c r="A205" s="3"/>
      <c r="B205" s="3"/>
      <c r="C205" s="3"/>
      <c r="D205" s="3"/>
      <c r="E205" s="3"/>
      <c r="F205" s="3"/>
      <c r="G205" s="3"/>
      <c r="H205" s="3"/>
      <c r="I205" s="3"/>
      <c r="J205" s="3"/>
      <c r="K205" s="3"/>
      <c r="L205" s="3"/>
      <c r="M205" s="3"/>
      <c r="N205" s="3"/>
      <c r="O205" s="3"/>
      <c r="P205" s="3"/>
      <c r="Q205" s="3"/>
      <c r="R205" s="5"/>
      <c r="S205" s="3"/>
      <c r="T205" s="3"/>
      <c r="U205" s="3"/>
      <c r="V205" s="3"/>
      <c r="W205" s="3"/>
      <c r="X205" s="3"/>
      <c r="Y205" s="3"/>
      <c r="Z205" s="3"/>
    </row>
    <row r="206" ht="12.75" customHeight="1">
      <c r="A206" s="3"/>
      <c r="B206" s="3"/>
      <c r="C206" s="3"/>
      <c r="D206" s="3"/>
      <c r="E206" s="3"/>
      <c r="F206" s="3"/>
      <c r="G206" s="3"/>
      <c r="H206" s="3"/>
      <c r="I206" s="3"/>
      <c r="J206" s="3"/>
      <c r="K206" s="3"/>
      <c r="L206" s="3"/>
      <c r="M206" s="3"/>
      <c r="N206" s="3"/>
      <c r="O206" s="3"/>
      <c r="P206" s="3"/>
      <c r="Q206" s="3"/>
      <c r="R206" s="5"/>
      <c r="S206" s="3"/>
      <c r="T206" s="3"/>
      <c r="U206" s="3"/>
      <c r="V206" s="3"/>
      <c r="W206" s="3"/>
      <c r="X206" s="3"/>
      <c r="Y206" s="3"/>
      <c r="Z206" s="3"/>
    </row>
    <row r="207" ht="12.75" customHeight="1">
      <c r="A207" s="3"/>
      <c r="B207" s="3"/>
      <c r="C207" s="3"/>
      <c r="D207" s="3"/>
      <c r="E207" s="3"/>
      <c r="F207" s="3"/>
      <c r="G207" s="3"/>
      <c r="H207" s="3"/>
      <c r="I207" s="3"/>
      <c r="J207" s="3"/>
      <c r="K207" s="3"/>
      <c r="L207" s="3"/>
      <c r="M207" s="3"/>
      <c r="N207" s="3"/>
      <c r="O207" s="3"/>
      <c r="P207" s="3"/>
      <c r="Q207" s="3"/>
      <c r="R207" s="5"/>
      <c r="S207" s="3"/>
      <c r="T207" s="3"/>
      <c r="U207" s="3"/>
      <c r="V207" s="3"/>
      <c r="W207" s="3"/>
      <c r="X207" s="3"/>
      <c r="Y207" s="3"/>
      <c r="Z207" s="3"/>
    </row>
    <row r="208" ht="12.75" customHeight="1">
      <c r="A208" s="3"/>
      <c r="B208" s="3"/>
      <c r="C208" s="3"/>
      <c r="D208" s="3"/>
      <c r="E208" s="3"/>
      <c r="F208" s="3"/>
      <c r="G208" s="3"/>
      <c r="H208" s="3"/>
      <c r="I208" s="3"/>
      <c r="J208" s="3"/>
      <c r="K208" s="3"/>
      <c r="L208" s="3"/>
      <c r="M208" s="3"/>
      <c r="N208" s="3"/>
      <c r="O208" s="3"/>
      <c r="P208" s="3"/>
      <c r="Q208" s="3"/>
      <c r="R208" s="5"/>
      <c r="S208" s="3"/>
      <c r="T208" s="3"/>
      <c r="U208" s="3"/>
      <c r="V208" s="3"/>
      <c r="W208" s="3"/>
      <c r="X208" s="3"/>
      <c r="Y208" s="3"/>
      <c r="Z208" s="3"/>
    </row>
    <row r="209" ht="12.75" customHeight="1">
      <c r="A209" s="3"/>
      <c r="B209" s="3"/>
      <c r="C209" s="3"/>
      <c r="D209" s="3"/>
      <c r="E209" s="3"/>
      <c r="F209" s="3"/>
      <c r="G209" s="3"/>
      <c r="H209" s="3"/>
      <c r="I209" s="3"/>
      <c r="J209" s="3"/>
      <c r="K209" s="3"/>
      <c r="L209" s="3"/>
      <c r="M209" s="3"/>
      <c r="N209" s="3"/>
      <c r="O209" s="3"/>
      <c r="P209" s="3"/>
      <c r="Q209" s="3"/>
      <c r="R209" s="5"/>
      <c r="S209" s="3"/>
      <c r="T209" s="3"/>
      <c r="U209" s="3"/>
      <c r="V209" s="3"/>
      <c r="W209" s="3"/>
      <c r="X209" s="3"/>
      <c r="Y209" s="3"/>
      <c r="Z209" s="3"/>
    </row>
    <row r="210" ht="12.75" customHeight="1">
      <c r="A210" s="3"/>
      <c r="B210" s="3"/>
      <c r="C210" s="3"/>
      <c r="D210" s="3"/>
      <c r="E210" s="3"/>
      <c r="F210" s="3"/>
      <c r="G210" s="3"/>
      <c r="H210" s="3"/>
      <c r="I210" s="3"/>
      <c r="J210" s="3"/>
      <c r="K210" s="3"/>
      <c r="L210" s="3"/>
      <c r="M210" s="3"/>
      <c r="N210" s="3"/>
      <c r="O210" s="3"/>
      <c r="P210" s="3"/>
      <c r="Q210" s="3"/>
      <c r="R210" s="5"/>
      <c r="S210" s="3"/>
      <c r="T210" s="3"/>
      <c r="U210" s="3"/>
      <c r="V210" s="3"/>
      <c r="W210" s="3"/>
      <c r="X210" s="3"/>
      <c r="Y210" s="3"/>
      <c r="Z210" s="3"/>
    </row>
    <row r="211" ht="12.75" customHeight="1">
      <c r="A211" s="3"/>
      <c r="B211" s="3"/>
      <c r="C211" s="3"/>
      <c r="D211" s="3"/>
      <c r="E211" s="3"/>
      <c r="F211" s="3"/>
      <c r="G211" s="3"/>
      <c r="H211" s="3"/>
      <c r="I211" s="3"/>
      <c r="J211" s="3"/>
      <c r="K211" s="3"/>
      <c r="L211" s="3"/>
      <c r="M211" s="3"/>
      <c r="N211" s="3"/>
      <c r="O211" s="3"/>
      <c r="P211" s="3"/>
      <c r="Q211" s="3"/>
      <c r="R211" s="5"/>
      <c r="S211" s="3"/>
      <c r="T211" s="3"/>
      <c r="U211" s="3"/>
      <c r="V211" s="3"/>
      <c r="W211" s="3"/>
      <c r="X211" s="3"/>
      <c r="Y211" s="3"/>
      <c r="Z211" s="3"/>
    </row>
    <row r="212" ht="12.75" customHeight="1">
      <c r="A212" s="3"/>
      <c r="B212" s="3"/>
      <c r="C212" s="3"/>
      <c r="D212" s="3"/>
      <c r="E212" s="3"/>
      <c r="F212" s="3"/>
      <c r="G212" s="3"/>
      <c r="H212" s="3"/>
      <c r="I212" s="3"/>
      <c r="J212" s="3"/>
      <c r="K212" s="3"/>
      <c r="L212" s="3"/>
      <c r="M212" s="3"/>
      <c r="N212" s="3"/>
      <c r="O212" s="3"/>
      <c r="P212" s="3"/>
      <c r="Q212" s="3"/>
      <c r="R212" s="5"/>
      <c r="S212" s="3"/>
      <c r="T212" s="3"/>
      <c r="U212" s="3"/>
      <c r="V212" s="3"/>
      <c r="W212" s="3"/>
      <c r="X212" s="3"/>
      <c r="Y212" s="3"/>
      <c r="Z212" s="3"/>
    </row>
    <row r="213" ht="12.75" customHeight="1">
      <c r="A213" s="3"/>
      <c r="B213" s="3"/>
      <c r="C213" s="3"/>
      <c r="D213" s="3"/>
      <c r="E213" s="3"/>
      <c r="F213" s="3"/>
      <c r="G213" s="3"/>
      <c r="H213" s="3"/>
      <c r="I213" s="3"/>
      <c r="J213" s="3"/>
      <c r="K213" s="3"/>
      <c r="L213" s="3"/>
      <c r="M213" s="3"/>
      <c r="N213" s="3"/>
      <c r="O213" s="3"/>
      <c r="P213" s="3"/>
      <c r="Q213" s="3"/>
      <c r="R213" s="5"/>
      <c r="S213" s="3"/>
      <c r="T213" s="3"/>
      <c r="U213" s="3"/>
      <c r="V213" s="3"/>
      <c r="W213" s="3"/>
      <c r="X213" s="3"/>
      <c r="Y213" s="3"/>
      <c r="Z213" s="3"/>
    </row>
    <row r="214" ht="12.75" customHeight="1">
      <c r="A214" s="3"/>
      <c r="B214" s="3"/>
      <c r="C214" s="3"/>
      <c r="D214" s="3"/>
      <c r="E214" s="3"/>
      <c r="F214" s="3"/>
      <c r="G214" s="3"/>
      <c r="H214" s="3"/>
      <c r="I214" s="3"/>
      <c r="J214" s="3"/>
      <c r="K214" s="3"/>
      <c r="L214" s="3"/>
      <c r="M214" s="3"/>
      <c r="N214" s="3"/>
      <c r="O214" s="3"/>
      <c r="P214" s="3"/>
      <c r="Q214" s="3"/>
      <c r="R214" s="5"/>
      <c r="S214" s="3"/>
      <c r="T214" s="3"/>
      <c r="U214" s="3"/>
      <c r="V214" s="3"/>
      <c r="W214" s="3"/>
      <c r="X214" s="3"/>
      <c r="Y214" s="3"/>
      <c r="Z214" s="3"/>
    </row>
    <row r="215" ht="12.75" customHeight="1">
      <c r="A215" s="3"/>
      <c r="B215" s="3"/>
      <c r="C215" s="3"/>
      <c r="D215" s="3"/>
      <c r="E215" s="3"/>
      <c r="F215" s="3"/>
      <c r="G215" s="3"/>
      <c r="H215" s="3"/>
      <c r="I215" s="3"/>
      <c r="J215" s="3"/>
      <c r="K215" s="3"/>
      <c r="L215" s="3"/>
      <c r="M215" s="3"/>
      <c r="N215" s="3"/>
      <c r="O215" s="3"/>
      <c r="P215" s="3"/>
      <c r="Q215" s="3"/>
      <c r="R215" s="5"/>
      <c r="S215" s="3"/>
      <c r="T215" s="3"/>
      <c r="U215" s="3"/>
      <c r="V215" s="3"/>
      <c r="W215" s="3"/>
      <c r="X215" s="3"/>
      <c r="Y215" s="3"/>
      <c r="Z215" s="3"/>
    </row>
    <row r="216" ht="12.75" customHeight="1">
      <c r="A216" s="3"/>
      <c r="B216" s="3"/>
      <c r="C216" s="3"/>
      <c r="D216" s="3"/>
      <c r="E216" s="3"/>
      <c r="F216" s="3"/>
      <c r="G216" s="3"/>
      <c r="H216" s="3"/>
      <c r="I216" s="3"/>
      <c r="J216" s="3"/>
      <c r="K216" s="3"/>
      <c r="L216" s="3"/>
      <c r="M216" s="3"/>
      <c r="N216" s="3"/>
      <c r="O216" s="3"/>
      <c r="P216" s="3"/>
      <c r="Q216" s="3"/>
      <c r="R216" s="5"/>
      <c r="S216" s="3"/>
      <c r="T216" s="3"/>
      <c r="U216" s="3"/>
      <c r="V216" s="3"/>
      <c r="W216" s="3"/>
      <c r="X216" s="3"/>
      <c r="Y216" s="3"/>
      <c r="Z216" s="3"/>
    </row>
    <row r="217" ht="12.75" customHeight="1">
      <c r="A217" s="3"/>
      <c r="B217" s="3"/>
      <c r="C217" s="3"/>
      <c r="D217" s="3"/>
      <c r="E217" s="3"/>
      <c r="F217" s="3"/>
      <c r="G217" s="3"/>
      <c r="H217" s="3"/>
      <c r="I217" s="3"/>
      <c r="J217" s="3"/>
      <c r="K217" s="3"/>
      <c r="L217" s="3"/>
      <c r="M217" s="3"/>
      <c r="N217" s="3"/>
      <c r="O217" s="3"/>
      <c r="P217" s="3"/>
      <c r="Q217" s="3"/>
      <c r="R217" s="5"/>
      <c r="S217" s="3"/>
      <c r="T217" s="3"/>
      <c r="U217" s="3"/>
      <c r="V217" s="3"/>
      <c r="W217" s="3"/>
      <c r="X217" s="3"/>
      <c r="Y217" s="3"/>
      <c r="Z217" s="3"/>
    </row>
    <row r="218" ht="12.75" customHeight="1">
      <c r="A218" s="3"/>
      <c r="B218" s="3"/>
      <c r="C218" s="3"/>
      <c r="D218" s="3"/>
      <c r="E218" s="3"/>
      <c r="F218" s="3"/>
      <c r="G218" s="3"/>
      <c r="H218" s="3"/>
      <c r="I218" s="3"/>
      <c r="J218" s="3"/>
      <c r="K218" s="3"/>
      <c r="L218" s="3"/>
      <c r="M218" s="3"/>
      <c r="N218" s="3"/>
      <c r="O218" s="3"/>
      <c r="P218" s="3"/>
      <c r="Q218" s="3"/>
      <c r="R218" s="5"/>
      <c r="S218" s="3"/>
      <c r="T218" s="3"/>
      <c r="U218" s="3"/>
      <c r="V218" s="3"/>
      <c r="W218" s="3"/>
      <c r="X218" s="3"/>
      <c r="Y218" s="3"/>
      <c r="Z218" s="3"/>
    </row>
    <row r="219" ht="12.75" customHeight="1">
      <c r="A219" s="3"/>
      <c r="B219" s="3"/>
      <c r="C219" s="3"/>
      <c r="D219" s="3"/>
      <c r="E219" s="3"/>
      <c r="F219" s="3"/>
      <c r="G219" s="3"/>
      <c r="H219" s="3"/>
      <c r="I219" s="3"/>
      <c r="J219" s="3"/>
      <c r="K219" s="3"/>
      <c r="L219" s="3"/>
      <c r="M219" s="3"/>
      <c r="N219" s="3"/>
      <c r="O219" s="3"/>
      <c r="P219" s="3"/>
      <c r="Q219" s="3"/>
      <c r="R219" s="5"/>
      <c r="S219" s="3"/>
      <c r="T219" s="3"/>
      <c r="U219" s="3"/>
      <c r="V219" s="3"/>
      <c r="W219" s="3"/>
      <c r="X219" s="3"/>
      <c r="Y219" s="3"/>
      <c r="Z219" s="3"/>
    </row>
    <row r="220" ht="12.75" customHeight="1">
      <c r="A220" s="3"/>
      <c r="B220" s="3"/>
      <c r="C220" s="3"/>
      <c r="D220" s="3"/>
      <c r="E220" s="3"/>
      <c r="F220" s="3"/>
      <c r="G220" s="3"/>
      <c r="H220" s="3"/>
      <c r="I220" s="3"/>
      <c r="J220" s="3"/>
      <c r="K220" s="3"/>
      <c r="L220" s="3"/>
      <c r="M220" s="3"/>
      <c r="N220" s="3"/>
      <c r="O220" s="3"/>
      <c r="P220" s="3"/>
      <c r="Q220" s="3"/>
      <c r="R220" s="5"/>
      <c r="S220" s="3"/>
      <c r="T220" s="3"/>
      <c r="U220" s="3"/>
      <c r="V220" s="3"/>
      <c r="W220" s="3"/>
      <c r="X220" s="3"/>
      <c r="Y220" s="3"/>
      <c r="Z220" s="3"/>
    </row>
    <row r="221" ht="12.75" customHeight="1">
      <c r="A221" s="3"/>
      <c r="B221" s="3"/>
      <c r="C221" s="3"/>
      <c r="D221" s="3"/>
      <c r="E221" s="3"/>
      <c r="F221" s="3"/>
      <c r="G221" s="3"/>
      <c r="H221" s="3"/>
      <c r="I221" s="3"/>
      <c r="J221" s="3"/>
      <c r="K221" s="3"/>
      <c r="L221" s="3"/>
      <c r="M221" s="3"/>
      <c r="N221" s="3"/>
      <c r="O221" s="3"/>
      <c r="P221" s="3"/>
      <c r="Q221" s="3"/>
      <c r="R221" s="5"/>
      <c r="S221" s="3"/>
      <c r="T221" s="3"/>
      <c r="U221" s="3"/>
      <c r="V221" s="3"/>
      <c r="W221" s="3"/>
      <c r="X221" s="3"/>
      <c r="Y221" s="3"/>
      <c r="Z221" s="3"/>
    </row>
    <row r="222" ht="12.75" customHeight="1">
      <c r="A222" s="3"/>
      <c r="B222" s="3"/>
      <c r="C222" s="3"/>
      <c r="D222" s="3"/>
      <c r="E222" s="3"/>
      <c r="F222" s="3"/>
      <c r="G222" s="3"/>
      <c r="H222" s="3"/>
      <c r="I222" s="3"/>
      <c r="J222" s="3"/>
      <c r="K222" s="3"/>
      <c r="L222" s="3"/>
      <c r="M222" s="3"/>
      <c r="N222" s="3"/>
      <c r="O222" s="3"/>
      <c r="P222" s="3"/>
      <c r="Q222" s="3"/>
      <c r="R222" s="5"/>
      <c r="S222" s="3"/>
      <c r="T222" s="3"/>
      <c r="U222" s="3"/>
      <c r="V222" s="3"/>
      <c r="W222" s="3"/>
      <c r="X222" s="3"/>
      <c r="Y222" s="3"/>
      <c r="Z222" s="3"/>
    </row>
    <row r="223" ht="12.75" customHeight="1">
      <c r="A223" s="3"/>
      <c r="B223" s="3"/>
      <c r="C223" s="3"/>
      <c r="D223" s="3"/>
      <c r="E223" s="3"/>
      <c r="F223" s="3"/>
      <c r="G223" s="3"/>
      <c r="H223" s="3"/>
      <c r="I223" s="3"/>
      <c r="J223" s="3"/>
      <c r="K223" s="3"/>
      <c r="L223" s="3"/>
      <c r="M223" s="3"/>
      <c r="N223" s="3"/>
      <c r="O223" s="3"/>
      <c r="P223" s="3"/>
      <c r="Q223" s="3"/>
      <c r="R223" s="5"/>
      <c r="S223" s="3"/>
      <c r="T223" s="3"/>
      <c r="U223" s="3"/>
      <c r="V223" s="3"/>
      <c r="W223" s="3"/>
      <c r="X223" s="3"/>
      <c r="Y223" s="3"/>
      <c r="Z223" s="3"/>
    </row>
    <row r="224" ht="12.75" customHeight="1">
      <c r="A224" s="3"/>
      <c r="B224" s="3"/>
      <c r="C224" s="3"/>
      <c r="D224" s="3"/>
      <c r="E224" s="3"/>
      <c r="F224" s="3"/>
      <c r="G224" s="3"/>
      <c r="H224" s="3"/>
      <c r="I224" s="3"/>
      <c r="J224" s="3"/>
      <c r="K224" s="3"/>
      <c r="L224" s="3"/>
      <c r="M224" s="3"/>
      <c r="N224" s="3"/>
      <c r="O224" s="3"/>
      <c r="P224" s="3"/>
      <c r="Q224" s="3"/>
      <c r="R224" s="5"/>
      <c r="S224" s="3"/>
      <c r="T224" s="3"/>
      <c r="U224" s="3"/>
      <c r="V224" s="3"/>
      <c r="W224" s="3"/>
      <c r="X224" s="3"/>
      <c r="Y224" s="3"/>
      <c r="Z224" s="3"/>
    </row>
    <row r="225" ht="12.75" customHeight="1">
      <c r="A225" s="3"/>
      <c r="B225" s="3"/>
      <c r="C225" s="3"/>
      <c r="D225" s="3"/>
      <c r="E225" s="3"/>
      <c r="F225" s="3"/>
      <c r="G225" s="3"/>
      <c r="H225" s="3"/>
      <c r="I225" s="3"/>
      <c r="J225" s="3"/>
      <c r="K225" s="3"/>
      <c r="L225" s="3"/>
      <c r="M225" s="3"/>
      <c r="N225" s="3"/>
      <c r="O225" s="3"/>
      <c r="P225" s="3"/>
      <c r="Q225" s="3"/>
      <c r="R225" s="5"/>
      <c r="S225" s="3"/>
      <c r="T225" s="3"/>
      <c r="U225" s="3"/>
      <c r="V225" s="3"/>
      <c r="W225" s="3"/>
      <c r="X225" s="3"/>
      <c r="Y225" s="3"/>
      <c r="Z225" s="3"/>
    </row>
    <row r="226" ht="12.75" customHeight="1">
      <c r="A226" s="3"/>
      <c r="B226" s="3"/>
      <c r="C226" s="3"/>
      <c r="D226" s="3"/>
      <c r="E226" s="3"/>
      <c r="F226" s="3"/>
      <c r="G226" s="3"/>
      <c r="H226" s="3"/>
      <c r="I226" s="3"/>
      <c r="J226" s="3"/>
      <c r="K226" s="3"/>
      <c r="L226" s="3"/>
      <c r="M226" s="3"/>
      <c r="N226" s="3"/>
      <c r="O226" s="3"/>
      <c r="P226" s="3"/>
      <c r="Q226" s="3"/>
      <c r="R226" s="5"/>
      <c r="S226" s="3"/>
      <c r="T226" s="3"/>
      <c r="U226" s="3"/>
      <c r="V226" s="3"/>
      <c r="W226" s="3"/>
      <c r="X226" s="3"/>
      <c r="Y226" s="3"/>
      <c r="Z226" s="3"/>
    </row>
    <row r="227" ht="12.75" customHeight="1">
      <c r="A227" s="3"/>
      <c r="B227" s="3"/>
      <c r="C227" s="3"/>
      <c r="D227" s="3"/>
      <c r="E227" s="3"/>
      <c r="F227" s="3"/>
      <c r="G227" s="3"/>
      <c r="H227" s="3"/>
      <c r="I227" s="3"/>
      <c r="J227" s="3"/>
      <c r="K227" s="3"/>
      <c r="L227" s="3"/>
      <c r="M227" s="3"/>
      <c r="N227" s="3"/>
      <c r="O227" s="3"/>
      <c r="P227" s="3"/>
      <c r="Q227" s="3"/>
      <c r="R227" s="5"/>
      <c r="S227" s="3"/>
      <c r="T227" s="3"/>
      <c r="U227" s="3"/>
      <c r="V227" s="3"/>
      <c r="W227" s="3"/>
      <c r="X227" s="3"/>
      <c r="Y227" s="3"/>
      <c r="Z227" s="3"/>
    </row>
    <row r="228" ht="12.75" customHeight="1">
      <c r="A228" s="3"/>
      <c r="B228" s="3"/>
      <c r="C228" s="3"/>
      <c r="D228" s="3"/>
      <c r="E228" s="3"/>
      <c r="F228" s="3"/>
      <c r="G228" s="3"/>
      <c r="H228" s="3"/>
      <c r="I228" s="3"/>
      <c r="J228" s="3"/>
      <c r="K228" s="3"/>
      <c r="L228" s="3"/>
      <c r="M228" s="3"/>
      <c r="N228" s="3"/>
      <c r="O228" s="3"/>
      <c r="P228" s="3"/>
      <c r="Q228" s="3"/>
      <c r="R228" s="5"/>
      <c r="S228" s="3"/>
      <c r="T228" s="3"/>
      <c r="U228" s="3"/>
      <c r="V228" s="3"/>
      <c r="W228" s="3"/>
      <c r="X228" s="3"/>
      <c r="Y228" s="3"/>
      <c r="Z228" s="3"/>
    </row>
    <row r="229" ht="12.75" customHeight="1">
      <c r="A229" s="3"/>
      <c r="B229" s="3"/>
      <c r="C229" s="3"/>
      <c r="D229" s="3"/>
      <c r="E229" s="3"/>
      <c r="F229" s="3"/>
      <c r="G229" s="3"/>
      <c r="H229" s="3"/>
      <c r="I229" s="3"/>
      <c r="J229" s="3"/>
      <c r="K229" s="3"/>
      <c r="L229" s="3"/>
      <c r="M229" s="3"/>
      <c r="N229" s="3"/>
      <c r="O229" s="3"/>
      <c r="P229" s="3"/>
      <c r="Q229" s="3"/>
      <c r="R229" s="5"/>
      <c r="S229" s="3"/>
      <c r="T229" s="3"/>
      <c r="U229" s="3"/>
      <c r="V229" s="3"/>
      <c r="W229" s="3"/>
      <c r="X229" s="3"/>
      <c r="Y229" s="3"/>
      <c r="Z229" s="3"/>
    </row>
    <row r="230" ht="12.75" customHeight="1">
      <c r="A230" s="3"/>
      <c r="B230" s="3"/>
      <c r="C230" s="3"/>
      <c r="D230" s="3"/>
      <c r="E230" s="3"/>
      <c r="F230" s="3"/>
      <c r="G230" s="3"/>
      <c r="H230" s="3"/>
      <c r="I230" s="3"/>
      <c r="J230" s="3"/>
      <c r="K230" s="3"/>
      <c r="L230" s="3"/>
      <c r="M230" s="3"/>
      <c r="N230" s="3"/>
      <c r="O230" s="3"/>
      <c r="P230" s="3"/>
      <c r="Q230" s="3"/>
      <c r="R230" s="5"/>
      <c r="S230" s="3"/>
      <c r="T230" s="3"/>
      <c r="U230" s="3"/>
      <c r="V230" s="3"/>
      <c r="W230" s="3"/>
      <c r="X230" s="3"/>
      <c r="Y230" s="3"/>
      <c r="Z230" s="3"/>
    </row>
    <row r="231" ht="12.75" customHeight="1">
      <c r="A231" s="3"/>
      <c r="B231" s="3"/>
      <c r="C231" s="3"/>
      <c r="D231" s="3"/>
      <c r="E231" s="3"/>
      <c r="F231" s="3"/>
      <c r="G231" s="3"/>
      <c r="H231" s="3"/>
      <c r="I231" s="3"/>
      <c r="J231" s="3"/>
      <c r="K231" s="3"/>
      <c r="L231" s="3"/>
      <c r="M231" s="3"/>
      <c r="N231" s="3"/>
      <c r="O231" s="3"/>
      <c r="P231" s="3"/>
      <c r="Q231" s="3"/>
      <c r="R231" s="5"/>
      <c r="S231" s="3"/>
      <c r="T231" s="3"/>
      <c r="U231" s="3"/>
      <c r="V231" s="3"/>
      <c r="W231" s="3"/>
      <c r="X231" s="3"/>
      <c r="Y231" s="3"/>
      <c r="Z231" s="3"/>
    </row>
    <row r="232" ht="12.75" customHeight="1">
      <c r="A232" s="3"/>
      <c r="B232" s="3"/>
      <c r="C232" s="3"/>
      <c r="D232" s="3"/>
      <c r="E232" s="3"/>
      <c r="F232" s="3"/>
      <c r="G232" s="3"/>
      <c r="H232" s="3"/>
      <c r="I232" s="3"/>
      <c r="J232" s="3"/>
      <c r="K232" s="3"/>
      <c r="L232" s="3"/>
      <c r="M232" s="3"/>
      <c r="N232" s="3"/>
      <c r="O232" s="3"/>
      <c r="P232" s="3"/>
      <c r="Q232" s="3"/>
      <c r="R232" s="5"/>
      <c r="S232" s="3"/>
      <c r="T232" s="3"/>
      <c r="U232" s="3"/>
      <c r="V232" s="3"/>
      <c r="W232" s="3"/>
      <c r="X232" s="3"/>
      <c r="Y232" s="3"/>
      <c r="Z232" s="3"/>
    </row>
    <row r="233" ht="12.75" customHeight="1">
      <c r="A233" s="3"/>
      <c r="B233" s="3"/>
      <c r="C233" s="3"/>
      <c r="D233" s="3"/>
      <c r="E233" s="3"/>
      <c r="F233" s="3"/>
      <c r="G233" s="3"/>
      <c r="H233" s="3"/>
      <c r="I233" s="3"/>
      <c r="J233" s="3"/>
      <c r="K233" s="3"/>
      <c r="L233" s="3"/>
      <c r="M233" s="3"/>
      <c r="N233" s="3"/>
      <c r="O233" s="3"/>
      <c r="P233" s="3"/>
      <c r="Q233" s="3"/>
      <c r="R233" s="5"/>
      <c r="S233" s="3"/>
      <c r="T233" s="3"/>
      <c r="U233" s="3"/>
      <c r="V233" s="3"/>
      <c r="W233" s="3"/>
      <c r="X233" s="3"/>
      <c r="Y233" s="3"/>
      <c r="Z233" s="3"/>
    </row>
    <row r="234" ht="12.75" customHeight="1">
      <c r="A234" s="3"/>
      <c r="B234" s="3"/>
      <c r="C234" s="3"/>
      <c r="D234" s="3"/>
      <c r="E234" s="3"/>
      <c r="F234" s="3"/>
      <c r="G234" s="3"/>
      <c r="H234" s="3"/>
      <c r="I234" s="3"/>
      <c r="J234" s="3"/>
      <c r="K234" s="3"/>
      <c r="L234" s="3"/>
      <c r="M234" s="3"/>
      <c r="N234" s="3"/>
      <c r="O234" s="3"/>
      <c r="P234" s="3"/>
      <c r="Q234" s="3"/>
      <c r="R234" s="5"/>
      <c r="S234" s="3"/>
      <c r="T234" s="3"/>
      <c r="U234" s="3"/>
      <c r="V234" s="3"/>
      <c r="W234" s="3"/>
      <c r="X234" s="3"/>
      <c r="Y234" s="3"/>
      <c r="Z234" s="3"/>
    </row>
    <row r="235" ht="12.75" customHeight="1">
      <c r="A235" s="3"/>
      <c r="B235" s="3"/>
      <c r="C235" s="3"/>
      <c r="D235" s="3"/>
      <c r="E235" s="3"/>
      <c r="F235" s="3"/>
      <c r="G235" s="3"/>
      <c r="H235" s="3"/>
      <c r="I235" s="3"/>
      <c r="J235" s="3"/>
      <c r="K235" s="3"/>
      <c r="L235" s="3"/>
      <c r="M235" s="3"/>
      <c r="N235" s="3"/>
      <c r="O235" s="3"/>
      <c r="P235" s="3"/>
      <c r="Q235" s="3"/>
      <c r="R235" s="5"/>
      <c r="S235" s="3"/>
      <c r="T235" s="3"/>
      <c r="U235" s="3"/>
      <c r="V235" s="3"/>
      <c r="W235" s="3"/>
      <c r="X235" s="3"/>
      <c r="Y235" s="3"/>
      <c r="Z235" s="3"/>
    </row>
    <row r="236" ht="12.75" customHeight="1">
      <c r="A236" s="3"/>
      <c r="B236" s="3"/>
      <c r="C236" s="3"/>
      <c r="D236" s="3"/>
      <c r="E236" s="3"/>
      <c r="F236" s="3"/>
      <c r="G236" s="3"/>
      <c r="H236" s="3"/>
      <c r="I236" s="3"/>
      <c r="J236" s="3"/>
      <c r="K236" s="3"/>
      <c r="L236" s="3"/>
      <c r="M236" s="3"/>
      <c r="N236" s="3"/>
      <c r="O236" s="3"/>
      <c r="P236" s="3"/>
      <c r="Q236" s="3"/>
      <c r="R236" s="5"/>
      <c r="S236" s="3"/>
      <c r="T236" s="3"/>
      <c r="U236" s="3"/>
      <c r="V236" s="3"/>
      <c r="W236" s="3"/>
      <c r="X236" s="3"/>
      <c r="Y236" s="3"/>
      <c r="Z236" s="3"/>
    </row>
    <row r="237" ht="12.75" customHeight="1">
      <c r="A237" s="3"/>
      <c r="B237" s="3"/>
      <c r="C237" s="3"/>
      <c r="D237" s="3"/>
      <c r="E237" s="3"/>
      <c r="F237" s="3"/>
      <c r="G237" s="3"/>
      <c r="H237" s="3"/>
      <c r="I237" s="3"/>
      <c r="J237" s="3"/>
      <c r="K237" s="3"/>
      <c r="L237" s="3"/>
      <c r="M237" s="3"/>
      <c r="N237" s="3"/>
      <c r="O237" s="3"/>
      <c r="P237" s="3"/>
      <c r="Q237" s="3"/>
      <c r="R237" s="5"/>
      <c r="S237" s="3"/>
      <c r="T237" s="3"/>
      <c r="U237" s="3"/>
      <c r="V237" s="3"/>
      <c r="W237" s="3"/>
      <c r="X237" s="3"/>
      <c r="Y237" s="3"/>
      <c r="Z237" s="3"/>
    </row>
    <row r="238" ht="12.75" customHeight="1">
      <c r="A238" s="3"/>
      <c r="B238" s="3"/>
      <c r="C238" s="3"/>
      <c r="D238" s="3"/>
      <c r="E238" s="3"/>
      <c r="F238" s="3"/>
      <c r="G238" s="3"/>
      <c r="H238" s="3"/>
      <c r="I238" s="3"/>
      <c r="J238" s="3"/>
      <c r="K238" s="3"/>
      <c r="L238" s="3"/>
      <c r="M238" s="3"/>
      <c r="N238" s="3"/>
      <c r="O238" s="3"/>
      <c r="P238" s="3"/>
      <c r="Q238" s="3"/>
      <c r="R238" s="5"/>
      <c r="S238" s="3"/>
      <c r="T238" s="3"/>
      <c r="U238" s="3"/>
      <c r="V238" s="3"/>
      <c r="W238" s="3"/>
      <c r="X238" s="3"/>
      <c r="Y238" s="3"/>
      <c r="Z238" s="3"/>
    </row>
    <row r="239" ht="12.75" customHeight="1">
      <c r="A239" s="3"/>
      <c r="B239" s="3"/>
      <c r="C239" s="3"/>
      <c r="D239" s="3"/>
      <c r="E239" s="3"/>
      <c r="F239" s="3"/>
      <c r="G239" s="3"/>
      <c r="H239" s="3"/>
      <c r="I239" s="3"/>
      <c r="J239" s="3"/>
      <c r="K239" s="3"/>
      <c r="L239" s="3"/>
      <c r="M239" s="3"/>
      <c r="N239" s="3"/>
      <c r="O239" s="3"/>
      <c r="P239" s="3"/>
      <c r="Q239" s="3"/>
      <c r="R239" s="5"/>
      <c r="S239" s="3"/>
      <c r="T239" s="3"/>
      <c r="U239" s="3"/>
      <c r="V239" s="3"/>
      <c r="W239" s="3"/>
      <c r="X239" s="3"/>
      <c r="Y239" s="3"/>
      <c r="Z239" s="3"/>
    </row>
    <row r="240" ht="12.75" customHeight="1">
      <c r="A240" s="3"/>
      <c r="B240" s="3"/>
      <c r="C240" s="3"/>
      <c r="D240" s="3"/>
      <c r="E240" s="3"/>
      <c r="F240" s="3"/>
      <c r="G240" s="3"/>
      <c r="H240" s="3"/>
      <c r="I240" s="3"/>
      <c r="J240" s="3"/>
      <c r="K240" s="3"/>
      <c r="L240" s="3"/>
      <c r="M240" s="3"/>
      <c r="N240" s="3"/>
      <c r="O240" s="3"/>
      <c r="P240" s="3"/>
      <c r="Q240" s="3"/>
      <c r="R240" s="5"/>
      <c r="S240" s="3"/>
      <c r="T240" s="3"/>
      <c r="U240" s="3"/>
      <c r="V240" s="3"/>
      <c r="W240" s="3"/>
      <c r="X240" s="3"/>
      <c r="Y240" s="3"/>
      <c r="Z240" s="3"/>
    </row>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B2:E2"/>
    <mergeCell ref="B3:E3"/>
    <mergeCell ref="B4:E4"/>
  </mergeCells>
  <dataValidations>
    <dataValidation type="list" allowBlank="1" showErrorMessage="1" sqref="G2:G3 J2:J3 M2:M3 G9 J9 M9 F12:F17 I12:I17 L12:L17 G18:G145 J18:J145 M18:M145">
      <formula1>$S$2:$S$5</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sheetPr>
    <pageSetUpPr/>
  </sheetPr>
  <sheetViews>
    <sheetView workbookViewId="0"/>
  </sheetViews>
  <sheetFormatPr customHeight="1" defaultColWidth="12.63" defaultRowHeight="15.0"/>
  <cols>
    <col customWidth="1" min="1" max="1" width="17.0"/>
    <col customWidth="1" min="2" max="2" width="34.5"/>
    <col customWidth="1" min="3" max="3" width="46.25"/>
    <col customWidth="1" min="4" max="4" width="34.63"/>
    <col customWidth="1" min="5" max="5" width="28.38"/>
    <col customWidth="1" min="6" max="6" width="10.75"/>
    <col customWidth="1" hidden="1" min="7" max="7" width="10.63"/>
    <col customWidth="1" hidden="1" min="8" max="8" width="7.0"/>
    <col customWidth="1" min="9" max="9" width="10.25"/>
    <col customWidth="1" hidden="1" min="10" max="10" width="10.63"/>
    <col customWidth="1" hidden="1" min="11" max="11" width="7.0"/>
    <col customWidth="1" min="12" max="12" width="9.38"/>
    <col customWidth="1" hidden="1" min="13" max="13" width="10.63"/>
    <col customWidth="1" hidden="1" min="14" max="14" width="7.0"/>
    <col customWidth="1" min="15" max="15" width="16.63"/>
    <col customWidth="1" min="16" max="16" width="28.63"/>
  </cols>
  <sheetData>
    <row r="2">
      <c r="A2" s="12" t="s">
        <v>2</v>
      </c>
      <c r="B2" s="14" t="s">
        <v>55</v>
      </c>
      <c r="C2" s="16"/>
      <c r="D2" s="16"/>
      <c r="E2" s="17"/>
      <c r="F2" s="21"/>
      <c r="G2" s="24"/>
      <c r="H2" s="26"/>
      <c r="I2" s="21"/>
      <c r="J2" s="24"/>
      <c r="K2" s="26"/>
      <c r="L2" s="21"/>
      <c r="M2" s="24"/>
      <c r="N2" s="26"/>
      <c r="O2" s="26"/>
      <c r="P2" s="26"/>
    </row>
    <row r="3" ht="30.0" customHeight="1">
      <c r="A3" s="36" t="s">
        <v>9</v>
      </c>
      <c r="B3" s="37" t="s">
        <v>315</v>
      </c>
      <c r="C3" s="15"/>
      <c r="D3" s="15"/>
      <c r="E3" s="38"/>
      <c r="F3" s="21"/>
      <c r="G3" s="24"/>
      <c r="H3" s="26"/>
      <c r="I3" s="21"/>
      <c r="J3" s="24"/>
      <c r="K3" s="26"/>
      <c r="L3" s="21"/>
      <c r="M3" s="24"/>
      <c r="N3" s="26"/>
      <c r="O3" s="26"/>
      <c r="P3" s="26"/>
    </row>
    <row r="4">
      <c r="A4" s="36" t="s">
        <v>15</v>
      </c>
      <c r="B4" s="37">
        <f>COUNTA(B12:B86)</f>
        <v>72</v>
      </c>
      <c r="C4" s="15"/>
      <c r="D4" s="15"/>
      <c r="E4" s="38"/>
      <c r="F4" s="21"/>
      <c r="G4" s="24"/>
      <c r="H4" s="26"/>
      <c r="I4" s="21"/>
      <c r="J4" s="24"/>
      <c r="K4" s="26"/>
      <c r="L4" s="21"/>
      <c r="M4" s="24"/>
      <c r="N4" s="26"/>
      <c r="O4" s="26"/>
      <c r="P4" s="26"/>
    </row>
    <row r="5">
      <c r="A5" s="46" t="s">
        <v>20</v>
      </c>
      <c r="B5" s="47" t="s">
        <v>6</v>
      </c>
      <c r="C5" s="47" t="s">
        <v>14</v>
      </c>
      <c r="D5" s="47" t="s">
        <v>19</v>
      </c>
      <c r="E5" s="50" t="s">
        <v>22</v>
      </c>
      <c r="F5" s="52"/>
      <c r="G5" s="52"/>
      <c r="H5" s="53"/>
      <c r="I5" s="52"/>
      <c r="J5" s="52"/>
      <c r="K5" s="53"/>
      <c r="L5" s="52"/>
      <c r="M5" s="52"/>
      <c r="N5" s="53"/>
      <c r="O5" s="53"/>
      <c r="P5" s="53"/>
    </row>
    <row r="6">
      <c r="A6" s="46" t="s">
        <v>25</v>
      </c>
      <c r="B6" s="68">
        <f t="shared" ref="B6:E6" si="1">COUNTIF($F12:$F86,B$5)</f>
        <v>72</v>
      </c>
      <c r="C6" s="68">
        <f t="shared" si="1">COUNTIF($F12:$F86,C$5)</f>
        <v>0</v>
      </c>
      <c r="D6" s="68">
        <f t="shared" si="1">COUNTIF($F12:$F86,D$5)</f>
        <v>0</v>
      </c>
      <c r="E6" s="74">
        <f t="shared" si="1">COUNTIF($F12:$F86,E$5)</f>
        <v>0</v>
      </c>
      <c r="F6" s="173"/>
      <c r="G6" s="75"/>
      <c r="H6" s="53"/>
      <c r="I6" s="75"/>
      <c r="J6" s="75"/>
      <c r="K6" s="53"/>
      <c r="L6" s="75"/>
      <c r="M6" s="75"/>
      <c r="N6" s="53"/>
      <c r="O6" s="53"/>
      <c r="P6" s="53"/>
    </row>
    <row r="7">
      <c r="A7" s="46" t="s">
        <v>40</v>
      </c>
      <c r="B7" s="68">
        <f t="shared" ref="B7:E7" si="2">COUNTIF($I12:$I86,B$5)</f>
        <v>72</v>
      </c>
      <c r="C7" s="68">
        <f t="shared" si="2">COUNTIF($I12:$I86,C$5)</f>
        <v>0</v>
      </c>
      <c r="D7" s="68">
        <f t="shared" si="2">COUNTIF($I12:$I86,D$5)</f>
        <v>0</v>
      </c>
      <c r="E7" s="74">
        <f t="shared" si="2">COUNTIF($I12:$I86,E$5)</f>
        <v>0</v>
      </c>
      <c r="F7" s="173"/>
      <c r="G7" s="75"/>
      <c r="H7" s="53"/>
      <c r="I7" s="75"/>
      <c r="J7" s="75"/>
      <c r="K7" s="53"/>
      <c r="L7" s="75"/>
      <c r="M7" s="75"/>
      <c r="N7" s="53"/>
      <c r="O7" s="53"/>
      <c r="P7" s="53"/>
    </row>
    <row r="8">
      <c r="A8" s="89" t="s">
        <v>47</v>
      </c>
      <c r="B8" s="92">
        <f t="shared" ref="B8:E8" si="3">COUNTIF($L12:$L86,B$5)</f>
        <v>0</v>
      </c>
      <c r="C8" s="92">
        <f t="shared" si="3">COUNTIF($L12:$L86,C$5)</f>
        <v>0</v>
      </c>
      <c r="D8" s="92">
        <f t="shared" si="3">COUNTIF($L12:$L86,D$5)</f>
        <v>72</v>
      </c>
      <c r="E8" s="98">
        <f t="shared" si="3">COUNTIF($L12:$L86,E$5)</f>
        <v>0</v>
      </c>
      <c r="F8" s="173"/>
      <c r="G8" s="75"/>
      <c r="H8" s="53"/>
      <c r="I8" s="75"/>
      <c r="J8" s="75"/>
      <c r="K8" s="53"/>
      <c r="L8" s="75"/>
      <c r="M8" s="75"/>
      <c r="N8" s="53"/>
      <c r="O8" s="53"/>
      <c r="P8" s="53"/>
    </row>
    <row r="9" ht="12.0" customHeight="1">
      <c r="A9" s="181"/>
      <c r="B9" s="9"/>
      <c r="C9" s="9"/>
      <c r="D9" s="9"/>
      <c r="E9" s="9"/>
      <c r="F9" s="9"/>
      <c r="G9" s="9"/>
      <c r="H9" s="9"/>
      <c r="I9" s="9"/>
      <c r="J9" s="9"/>
      <c r="K9" s="9"/>
      <c r="L9" s="9"/>
      <c r="M9" s="9"/>
      <c r="N9" s="9"/>
      <c r="O9" s="9"/>
      <c r="P9" s="182"/>
    </row>
    <row r="10" ht="30.0" customHeight="1">
      <c r="A10" s="108" t="s">
        <v>60</v>
      </c>
      <c r="B10" s="108" t="s">
        <v>61</v>
      </c>
      <c r="C10" s="108" t="s">
        <v>62</v>
      </c>
      <c r="D10" s="108" t="s">
        <v>63</v>
      </c>
      <c r="E10" s="108" t="s">
        <v>64</v>
      </c>
      <c r="F10" s="108" t="s">
        <v>25</v>
      </c>
      <c r="G10" s="108" t="s">
        <v>66</v>
      </c>
      <c r="H10" s="108" t="s">
        <v>67</v>
      </c>
      <c r="I10" s="108" t="s">
        <v>40</v>
      </c>
      <c r="J10" s="108" t="s">
        <v>66</v>
      </c>
      <c r="K10" s="108" t="s">
        <v>67</v>
      </c>
      <c r="L10" s="108" t="s">
        <v>47</v>
      </c>
      <c r="M10" s="108" t="s">
        <v>66</v>
      </c>
      <c r="N10" s="108" t="s">
        <v>67</v>
      </c>
      <c r="O10" s="108" t="s">
        <v>68</v>
      </c>
      <c r="P10" s="108" t="s">
        <v>69</v>
      </c>
    </row>
    <row r="11" ht="15.75" customHeight="1">
      <c r="A11" s="185" t="s">
        <v>121</v>
      </c>
      <c r="B11" s="186"/>
      <c r="C11" s="186"/>
      <c r="D11" s="186"/>
      <c r="E11" s="186"/>
      <c r="F11" s="186"/>
      <c r="G11" s="186"/>
      <c r="H11" s="186"/>
      <c r="I11" s="186"/>
      <c r="J11" s="186"/>
      <c r="K11" s="186"/>
      <c r="L11" s="186"/>
      <c r="M11" s="186"/>
      <c r="N11" s="186"/>
      <c r="O11" s="186"/>
      <c r="P11" s="188"/>
    </row>
    <row r="12">
      <c r="A12" s="190" t="s">
        <v>376</v>
      </c>
      <c r="B12" s="191" t="s">
        <v>378</v>
      </c>
      <c r="C12" s="191" t="s">
        <v>382</v>
      </c>
      <c r="D12" s="191" t="s">
        <v>383</v>
      </c>
      <c r="E12" s="191" t="s">
        <v>385</v>
      </c>
      <c r="F12" s="193" t="s">
        <v>6</v>
      </c>
      <c r="G12" s="194">
        <v>46313</v>
      </c>
      <c r="H12" s="190" t="s">
        <v>751</v>
      </c>
      <c r="I12" s="193" t="s">
        <v>6</v>
      </c>
      <c r="J12" s="194">
        <v>46313</v>
      </c>
      <c r="K12" s="190" t="s">
        <v>751</v>
      </c>
      <c r="L12" s="190" t="s">
        <v>19</v>
      </c>
      <c r="M12" s="195"/>
      <c r="N12" s="157"/>
      <c r="O12" s="157"/>
      <c r="P12" s="157" t="s">
        <v>78</v>
      </c>
    </row>
    <row r="13">
      <c r="A13" s="190" t="s">
        <v>399</v>
      </c>
      <c r="B13" s="191" t="s">
        <v>400</v>
      </c>
      <c r="C13" s="191" t="s">
        <v>401</v>
      </c>
      <c r="D13" s="191" t="s">
        <v>402</v>
      </c>
      <c r="E13" s="191" t="s">
        <v>385</v>
      </c>
      <c r="F13" s="193" t="s">
        <v>6</v>
      </c>
      <c r="G13" s="194">
        <v>46313</v>
      </c>
      <c r="H13" s="190" t="s">
        <v>751</v>
      </c>
      <c r="I13" s="193" t="s">
        <v>6</v>
      </c>
      <c r="J13" s="194">
        <v>46313</v>
      </c>
      <c r="K13" s="190" t="s">
        <v>751</v>
      </c>
      <c r="L13" s="190" t="s">
        <v>19</v>
      </c>
      <c r="M13" s="195"/>
      <c r="N13" s="157"/>
      <c r="O13" s="157"/>
      <c r="P13" s="157" t="s">
        <v>78</v>
      </c>
    </row>
    <row r="14">
      <c r="A14" s="190" t="s">
        <v>412</v>
      </c>
      <c r="B14" s="191" t="s">
        <v>414</v>
      </c>
      <c r="C14" s="191" t="s">
        <v>415</v>
      </c>
      <c r="D14" s="191" t="s">
        <v>416</v>
      </c>
      <c r="E14" s="191" t="s">
        <v>385</v>
      </c>
      <c r="F14" s="193" t="s">
        <v>6</v>
      </c>
      <c r="G14" s="194">
        <v>46313</v>
      </c>
      <c r="H14" s="190" t="s">
        <v>751</v>
      </c>
      <c r="I14" s="193" t="s">
        <v>6</v>
      </c>
      <c r="J14" s="194">
        <v>46313</v>
      </c>
      <c r="K14" s="190" t="s">
        <v>751</v>
      </c>
      <c r="L14" s="190" t="s">
        <v>19</v>
      </c>
      <c r="M14" s="195"/>
      <c r="N14" s="157"/>
      <c r="O14" s="157"/>
      <c r="P14" s="157" t="s">
        <v>78</v>
      </c>
    </row>
    <row r="15">
      <c r="A15" s="190" t="s">
        <v>422</v>
      </c>
      <c r="B15" s="191" t="s">
        <v>423</v>
      </c>
      <c r="C15" s="191" t="s">
        <v>424</v>
      </c>
      <c r="D15" s="191" t="s">
        <v>425</v>
      </c>
      <c r="E15" s="191" t="s">
        <v>385</v>
      </c>
      <c r="F15" s="193" t="s">
        <v>6</v>
      </c>
      <c r="G15" s="194">
        <v>46313</v>
      </c>
      <c r="H15" s="190" t="s">
        <v>751</v>
      </c>
      <c r="I15" s="193" t="s">
        <v>6</v>
      </c>
      <c r="J15" s="194">
        <v>46313</v>
      </c>
      <c r="K15" s="190" t="s">
        <v>751</v>
      </c>
      <c r="L15" s="190" t="s">
        <v>19</v>
      </c>
      <c r="M15" s="195"/>
      <c r="N15" s="157"/>
      <c r="O15" s="157"/>
      <c r="P15" s="157" t="s">
        <v>78</v>
      </c>
    </row>
    <row r="16">
      <c r="A16" s="190" t="s">
        <v>432</v>
      </c>
      <c r="B16" s="191" t="s">
        <v>433</v>
      </c>
      <c r="C16" s="191" t="s">
        <v>434</v>
      </c>
      <c r="D16" s="191" t="s">
        <v>435</v>
      </c>
      <c r="E16" s="191" t="s">
        <v>436</v>
      </c>
      <c r="F16" s="193" t="s">
        <v>6</v>
      </c>
      <c r="G16" s="194">
        <v>46313</v>
      </c>
      <c r="H16" s="190" t="s">
        <v>751</v>
      </c>
      <c r="I16" s="193" t="s">
        <v>6</v>
      </c>
      <c r="J16" s="194">
        <v>46313</v>
      </c>
      <c r="K16" s="190" t="s">
        <v>751</v>
      </c>
      <c r="L16" s="190" t="s">
        <v>19</v>
      </c>
      <c r="M16" s="195"/>
      <c r="N16" s="157"/>
      <c r="O16" s="157"/>
      <c r="P16" s="157" t="s">
        <v>78</v>
      </c>
    </row>
    <row r="17">
      <c r="A17" s="190" t="s">
        <v>442</v>
      </c>
      <c r="B17" s="191" t="s">
        <v>443</v>
      </c>
      <c r="C17" s="191" t="s">
        <v>444</v>
      </c>
      <c r="D17" s="191" t="s">
        <v>445</v>
      </c>
      <c r="E17" s="191" t="s">
        <v>446</v>
      </c>
      <c r="F17" s="193" t="s">
        <v>6</v>
      </c>
      <c r="G17" s="194">
        <v>46313</v>
      </c>
      <c r="H17" s="190" t="s">
        <v>751</v>
      </c>
      <c r="I17" s="193" t="s">
        <v>6</v>
      </c>
      <c r="J17" s="194">
        <v>46313</v>
      </c>
      <c r="K17" s="190" t="s">
        <v>751</v>
      </c>
      <c r="L17" s="190" t="s">
        <v>19</v>
      </c>
      <c r="M17" s="195"/>
      <c r="N17" s="157"/>
      <c r="O17" s="157"/>
      <c r="P17" s="157" t="s">
        <v>452</v>
      </c>
    </row>
    <row r="18">
      <c r="A18" s="190" t="s">
        <v>454</v>
      </c>
      <c r="B18" s="191" t="s">
        <v>456</v>
      </c>
      <c r="C18" s="191" t="s">
        <v>458</v>
      </c>
      <c r="D18" s="191" t="s">
        <v>460</v>
      </c>
      <c r="E18" s="191" t="s">
        <v>385</v>
      </c>
      <c r="F18" s="193" t="s">
        <v>6</v>
      </c>
      <c r="G18" s="194">
        <v>46313</v>
      </c>
      <c r="H18" s="190" t="s">
        <v>751</v>
      </c>
      <c r="I18" s="193" t="s">
        <v>6</v>
      </c>
      <c r="J18" s="194">
        <v>46313</v>
      </c>
      <c r="K18" s="190" t="s">
        <v>751</v>
      </c>
      <c r="L18" s="190" t="s">
        <v>19</v>
      </c>
      <c r="M18" s="195"/>
      <c r="N18" s="157"/>
      <c r="O18" s="157"/>
      <c r="P18" s="157" t="s">
        <v>78</v>
      </c>
    </row>
    <row r="19">
      <c r="A19" s="190" t="s">
        <v>462</v>
      </c>
      <c r="B19" s="191" t="s">
        <v>463</v>
      </c>
      <c r="C19" s="191" t="s">
        <v>464</v>
      </c>
      <c r="D19" s="191" t="s">
        <v>465</v>
      </c>
      <c r="E19" s="191" t="s">
        <v>385</v>
      </c>
      <c r="F19" s="193" t="s">
        <v>6</v>
      </c>
      <c r="G19" s="194">
        <v>46313</v>
      </c>
      <c r="H19" s="190" t="s">
        <v>751</v>
      </c>
      <c r="I19" s="193" t="s">
        <v>6</v>
      </c>
      <c r="J19" s="194">
        <v>46313</v>
      </c>
      <c r="K19" s="190" t="s">
        <v>751</v>
      </c>
      <c r="L19" s="190" t="s">
        <v>19</v>
      </c>
      <c r="M19" s="195"/>
      <c r="N19" s="157"/>
      <c r="O19" s="157"/>
      <c r="P19" s="157" t="s">
        <v>78</v>
      </c>
    </row>
    <row r="20">
      <c r="A20" s="190" t="s">
        <v>472</v>
      </c>
      <c r="B20" s="191" t="s">
        <v>473</v>
      </c>
      <c r="C20" s="191" t="s">
        <v>475</v>
      </c>
      <c r="D20" s="191" t="s">
        <v>477</v>
      </c>
      <c r="E20" s="191" t="s">
        <v>479</v>
      </c>
      <c r="F20" s="193" t="s">
        <v>6</v>
      </c>
      <c r="G20" s="194">
        <v>46313</v>
      </c>
      <c r="H20" s="190" t="s">
        <v>751</v>
      </c>
      <c r="I20" s="193" t="s">
        <v>6</v>
      </c>
      <c r="J20" s="194">
        <v>46313</v>
      </c>
      <c r="K20" s="190" t="s">
        <v>751</v>
      </c>
      <c r="L20" s="190" t="s">
        <v>19</v>
      </c>
      <c r="M20" s="195"/>
      <c r="N20" s="157"/>
      <c r="O20" s="157"/>
      <c r="P20" s="157" t="s">
        <v>78</v>
      </c>
    </row>
    <row r="21">
      <c r="A21" s="190" t="s">
        <v>485</v>
      </c>
      <c r="B21" s="191" t="s">
        <v>486</v>
      </c>
      <c r="C21" s="191" t="s">
        <v>487</v>
      </c>
      <c r="D21" s="191" t="s">
        <v>488</v>
      </c>
      <c r="E21" s="191" t="s">
        <v>489</v>
      </c>
      <c r="F21" s="193" t="s">
        <v>6</v>
      </c>
      <c r="G21" s="194">
        <v>46313</v>
      </c>
      <c r="H21" s="190" t="s">
        <v>751</v>
      </c>
      <c r="I21" s="193" t="s">
        <v>6</v>
      </c>
      <c r="J21" s="194">
        <v>46313</v>
      </c>
      <c r="K21" s="190" t="s">
        <v>751</v>
      </c>
      <c r="L21" s="190" t="s">
        <v>19</v>
      </c>
      <c r="M21" s="195"/>
      <c r="N21" s="157"/>
      <c r="O21" s="157"/>
      <c r="P21" s="157" t="s">
        <v>78</v>
      </c>
    </row>
    <row r="22">
      <c r="A22" s="190" t="s">
        <v>752</v>
      </c>
      <c r="B22" s="191" t="s">
        <v>753</v>
      </c>
      <c r="C22" s="191" t="s">
        <v>754</v>
      </c>
      <c r="D22" s="191" t="s">
        <v>755</v>
      </c>
      <c r="E22" s="191" t="s">
        <v>756</v>
      </c>
      <c r="F22" s="193" t="s">
        <v>6</v>
      </c>
      <c r="G22" s="194">
        <v>46313</v>
      </c>
      <c r="H22" s="190" t="s">
        <v>751</v>
      </c>
      <c r="I22" s="193" t="s">
        <v>6</v>
      </c>
      <c r="J22" s="194">
        <v>46313</v>
      </c>
      <c r="K22" s="190" t="s">
        <v>751</v>
      </c>
      <c r="L22" s="190" t="s">
        <v>19</v>
      </c>
      <c r="M22" s="195"/>
      <c r="N22" s="157"/>
      <c r="O22" s="157"/>
      <c r="P22" s="157" t="s">
        <v>757</v>
      </c>
    </row>
    <row r="23">
      <c r="A23" s="190" t="s">
        <v>758</v>
      </c>
      <c r="B23" s="191" t="s">
        <v>759</v>
      </c>
      <c r="C23" s="191" t="s">
        <v>760</v>
      </c>
      <c r="D23" s="191" t="s">
        <v>761</v>
      </c>
      <c r="E23" s="191" t="s">
        <v>762</v>
      </c>
      <c r="F23" s="193" t="s">
        <v>6</v>
      </c>
      <c r="G23" s="194">
        <v>46313</v>
      </c>
      <c r="H23" s="190" t="s">
        <v>751</v>
      </c>
      <c r="I23" s="193" t="s">
        <v>6</v>
      </c>
      <c r="J23" s="194">
        <v>46313</v>
      </c>
      <c r="K23" s="190" t="s">
        <v>751</v>
      </c>
      <c r="L23" s="190" t="s">
        <v>19</v>
      </c>
      <c r="M23" s="195"/>
      <c r="N23" s="157"/>
      <c r="O23" s="157"/>
      <c r="P23" s="157" t="s">
        <v>763</v>
      </c>
    </row>
    <row r="24">
      <c r="A24" s="190" t="s">
        <v>764</v>
      </c>
      <c r="B24" s="191" t="s">
        <v>765</v>
      </c>
      <c r="C24" s="191" t="s">
        <v>766</v>
      </c>
      <c r="D24" s="191" t="s">
        <v>767</v>
      </c>
      <c r="E24" s="191" t="s">
        <v>768</v>
      </c>
      <c r="F24" s="193" t="s">
        <v>6</v>
      </c>
      <c r="G24" s="194">
        <v>46313</v>
      </c>
      <c r="H24" s="190" t="s">
        <v>751</v>
      </c>
      <c r="I24" s="193" t="s">
        <v>6</v>
      </c>
      <c r="J24" s="194">
        <v>46313</v>
      </c>
      <c r="K24" s="190" t="s">
        <v>751</v>
      </c>
      <c r="L24" s="190" t="s">
        <v>19</v>
      </c>
      <c r="M24" s="195"/>
      <c r="N24" s="157"/>
      <c r="O24" s="157"/>
      <c r="P24" s="157" t="s">
        <v>769</v>
      </c>
    </row>
    <row r="25">
      <c r="A25" s="190" t="s">
        <v>770</v>
      </c>
      <c r="B25" s="191" t="s">
        <v>771</v>
      </c>
      <c r="C25" s="191" t="s">
        <v>772</v>
      </c>
      <c r="D25" s="191" t="s">
        <v>773</v>
      </c>
      <c r="E25" s="191" t="s">
        <v>774</v>
      </c>
      <c r="F25" s="193" t="s">
        <v>6</v>
      </c>
      <c r="G25" s="194">
        <v>46313</v>
      </c>
      <c r="H25" s="190" t="s">
        <v>751</v>
      </c>
      <c r="I25" s="193" t="s">
        <v>6</v>
      </c>
      <c r="J25" s="194">
        <v>46313</v>
      </c>
      <c r="K25" s="190" t="s">
        <v>751</v>
      </c>
      <c r="L25" s="190" t="s">
        <v>19</v>
      </c>
      <c r="M25" s="195"/>
      <c r="N25" s="157"/>
      <c r="O25" s="157"/>
      <c r="P25" s="157" t="s">
        <v>775</v>
      </c>
    </row>
    <row r="26">
      <c r="A26" s="190" t="s">
        <v>776</v>
      </c>
      <c r="B26" s="191" t="s">
        <v>777</v>
      </c>
      <c r="C26" s="191" t="s">
        <v>778</v>
      </c>
      <c r="D26" s="191" t="s">
        <v>779</v>
      </c>
      <c r="E26" s="191" t="s">
        <v>780</v>
      </c>
      <c r="F26" s="193" t="s">
        <v>6</v>
      </c>
      <c r="G26" s="194">
        <v>46313</v>
      </c>
      <c r="H26" s="190" t="s">
        <v>751</v>
      </c>
      <c r="I26" s="193" t="s">
        <v>6</v>
      </c>
      <c r="J26" s="194">
        <v>46313</v>
      </c>
      <c r="K26" s="190" t="s">
        <v>751</v>
      </c>
      <c r="L26" s="190" t="s">
        <v>19</v>
      </c>
      <c r="M26" s="195"/>
      <c r="N26" s="157"/>
      <c r="O26" s="157"/>
      <c r="P26" s="157" t="s">
        <v>781</v>
      </c>
    </row>
    <row r="27">
      <c r="A27" s="190" t="s">
        <v>782</v>
      </c>
      <c r="B27" s="191" t="s">
        <v>783</v>
      </c>
      <c r="C27" s="191" t="s">
        <v>784</v>
      </c>
      <c r="D27" s="191" t="s">
        <v>785</v>
      </c>
      <c r="E27" s="191" t="s">
        <v>786</v>
      </c>
      <c r="F27" s="193" t="s">
        <v>6</v>
      </c>
      <c r="G27" s="194">
        <v>46313</v>
      </c>
      <c r="H27" s="190" t="s">
        <v>751</v>
      </c>
      <c r="I27" s="193" t="s">
        <v>6</v>
      </c>
      <c r="J27" s="194">
        <v>46313</v>
      </c>
      <c r="K27" s="190" t="s">
        <v>751</v>
      </c>
      <c r="L27" s="190" t="s">
        <v>19</v>
      </c>
      <c r="M27" s="195"/>
      <c r="N27" s="157"/>
      <c r="O27" s="157"/>
      <c r="P27" s="157" t="s">
        <v>787</v>
      </c>
    </row>
    <row r="28" ht="15.75" customHeight="1">
      <c r="A28" s="185" t="s">
        <v>127</v>
      </c>
      <c r="B28" s="186"/>
      <c r="C28" s="186"/>
      <c r="D28" s="186"/>
      <c r="E28" s="186"/>
      <c r="F28" s="186"/>
      <c r="G28" s="186"/>
      <c r="H28" s="186"/>
      <c r="I28" s="186"/>
      <c r="J28" s="186"/>
      <c r="K28" s="186"/>
      <c r="L28" s="186"/>
      <c r="M28" s="186"/>
      <c r="N28" s="186"/>
      <c r="O28" s="186"/>
      <c r="P28" s="188"/>
    </row>
    <row r="29">
      <c r="A29" s="190" t="s">
        <v>498</v>
      </c>
      <c r="B29" s="191" t="s">
        <v>500</v>
      </c>
      <c r="C29" s="191" t="s">
        <v>502</v>
      </c>
      <c r="D29" s="191" t="s">
        <v>503</v>
      </c>
      <c r="E29" s="191" t="s">
        <v>385</v>
      </c>
      <c r="F29" s="193" t="s">
        <v>6</v>
      </c>
      <c r="G29" s="194">
        <v>46313</v>
      </c>
      <c r="H29" s="190" t="s">
        <v>751</v>
      </c>
      <c r="I29" s="193" t="s">
        <v>6</v>
      </c>
      <c r="J29" s="194">
        <v>46313</v>
      </c>
      <c r="K29" s="190" t="s">
        <v>751</v>
      </c>
      <c r="L29" s="190" t="s">
        <v>19</v>
      </c>
      <c r="M29" s="195"/>
      <c r="N29" s="157"/>
      <c r="O29" s="157"/>
      <c r="P29" s="157" t="s">
        <v>78</v>
      </c>
    </row>
    <row r="30">
      <c r="A30" s="190" t="s">
        <v>507</v>
      </c>
      <c r="B30" s="191" t="s">
        <v>509</v>
      </c>
      <c r="C30" s="191" t="s">
        <v>512</v>
      </c>
      <c r="D30" s="191" t="s">
        <v>514</v>
      </c>
      <c r="E30" s="191" t="s">
        <v>385</v>
      </c>
      <c r="F30" s="193" t="s">
        <v>6</v>
      </c>
      <c r="G30" s="194">
        <v>46313</v>
      </c>
      <c r="H30" s="190" t="s">
        <v>751</v>
      </c>
      <c r="I30" s="193" t="s">
        <v>6</v>
      </c>
      <c r="J30" s="194">
        <v>46313</v>
      </c>
      <c r="K30" s="190" t="s">
        <v>751</v>
      </c>
      <c r="L30" s="190" t="s">
        <v>19</v>
      </c>
      <c r="M30" s="195"/>
      <c r="N30" s="157"/>
      <c r="O30" s="157"/>
      <c r="P30" s="157" t="s">
        <v>78</v>
      </c>
    </row>
    <row r="31">
      <c r="A31" s="190" t="s">
        <v>518</v>
      </c>
      <c r="B31" s="191" t="s">
        <v>519</v>
      </c>
      <c r="C31" s="191" t="s">
        <v>520</v>
      </c>
      <c r="D31" s="191" t="s">
        <v>521</v>
      </c>
      <c r="E31" s="191" t="s">
        <v>385</v>
      </c>
      <c r="F31" s="193" t="s">
        <v>6</v>
      </c>
      <c r="G31" s="194">
        <v>46313</v>
      </c>
      <c r="H31" s="190" t="s">
        <v>751</v>
      </c>
      <c r="I31" s="193" t="s">
        <v>6</v>
      </c>
      <c r="J31" s="194">
        <v>46313</v>
      </c>
      <c r="K31" s="190" t="s">
        <v>751</v>
      </c>
      <c r="L31" s="190" t="s">
        <v>19</v>
      </c>
      <c r="M31" s="195"/>
      <c r="N31" s="157"/>
      <c r="O31" s="157"/>
      <c r="P31" s="157" t="s">
        <v>78</v>
      </c>
    </row>
    <row r="32">
      <c r="A32" s="190" t="s">
        <v>532</v>
      </c>
      <c r="B32" s="191" t="s">
        <v>533</v>
      </c>
      <c r="C32" s="191" t="s">
        <v>534</v>
      </c>
      <c r="D32" s="191" t="s">
        <v>535</v>
      </c>
      <c r="E32" s="191" t="s">
        <v>385</v>
      </c>
      <c r="F32" s="193" t="s">
        <v>6</v>
      </c>
      <c r="G32" s="194">
        <v>46313</v>
      </c>
      <c r="H32" s="190" t="s">
        <v>751</v>
      </c>
      <c r="I32" s="193" t="s">
        <v>6</v>
      </c>
      <c r="J32" s="194">
        <v>46313</v>
      </c>
      <c r="K32" s="190" t="s">
        <v>751</v>
      </c>
      <c r="L32" s="190" t="s">
        <v>19</v>
      </c>
      <c r="M32" s="195"/>
      <c r="N32" s="157"/>
      <c r="O32" s="157"/>
      <c r="P32" s="157" t="s">
        <v>78</v>
      </c>
    </row>
    <row r="33">
      <c r="A33" s="190" t="s">
        <v>541</v>
      </c>
      <c r="B33" s="191" t="s">
        <v>542</v>
      </c>
      <c r="C33" s="191" t="s">
        <v>543</v>
      </c>
      <c r="D33" s="191" t="s">
        <v>544</v>
      </c>
      <c r="E33" s="191" t="s">
        <v>385</v>
      </c>
      <c r="F33" s="193" t="s">
        <v>6</v>
      </c>
      <c r="G33" s="194">
        <v>46313</v>
      </c>
      <c r="H33" s="190" t="s">
        <v>751</v>
      </c>
      <c r="I33" s="193" t="s">
        <v>6</v>
      </c>
      <c r="J33" s="194">
        <v>46313</v>
      </c>
      <c r="K33" s="190" t="s">
        <v>751</v>
      </c>
      <c r="L33" s="190" t="s">
        <v>19</v>
      </c>
      <c r="M33" s="195"/>
      <c r="N33" s="157"/>
      <c r="O33" s="157"/>
      <c r="P33" s="157" t="s">
        <v>78</v>
      </c>
    </row>
    <row r="34">
      <c r="A34" s="190" t="s">
        <v>547</v>
      </c>
      <c r="B34" s="191" t="s">
        <v>548</v>
      </c>
      <c r="C34" s="191" t="s">
        <v>549</v>
      </c>
      <c r="D34" s="191" t="s">
        <v>550</v>
      </c>
      <c r="E34" s="191" t="s">
        <v>385</v>
      </c>
      <c r="F34" s="193" t="s">
        <v>6</v>
      </c>
      <c r="G34" s="194">
        <v>46313</v>
      </c>
      <c r="H34" s="190" t="s">
        <v>751</v>
      </c>
      <c r="I34" s="193" t="s">
        <v>6</v>
      </c>
      <c r="J34" s="194">
        <v>46313</v>
      </c>
      <c r="K34" s="190" t="s">
        <v>751</v>
      </c>
      <c r="L34" s="190" t="s">
        <v>19</v>
      </c>
      <c r="M34" s="195"/>
      <c r="N34" s="157"/>
      <c r="O34" s="157"/>
      <c r="P34" s="157" t="s">
        <v>78</v>
      </c>
    </row>
    <row r="35">
      <c r="A35" s="190" t="s">
        <v>556</v>
      </c>
      <c r="B35" s="191" t="s">
        <v>557</v>
      </c>
      <c r="C35" s="191" t="s">
        <v>558</v>
      </c>
      <c r="D35" s="191" t="s">
        <v>559</v>
      </c>
      <c r="E35" s="191" t="s">
        <v>385</v>
      </c>
      <c r="F35" s="193" t="s">
        <v>6</v>
      </c>
      <c r="G35" s="194">
        <v>46313</v>
      </c>
      <c r="H35" s="190" t="s">
        <v>751</v>
      </c>
      <c r="I35" s="193" t="s">
        <v>6</v>
      </c>
      <c r="J35" s="194">
        <v>46313</v>
      </c>
      <c r="K35" s="190" t="s">
        <v>751</v>
      </c>
      <c r="L35" s="190" t="s">
        <v>19</v>
      </c>
      <c r="M35" s="195"/>
      <c r="N35" s="157"/>
      <c r="O35" s="157"/>
      <c r="P35" s="157" t="s">
        <v>78</v>
      </c>
    </row>
    <row r="36">
      <c r="A36" s="190" t="s">
        <v>560</v>
      </c>
      <c r="B36" s="191" t="s">
        <v>561</v>
      </c>
      <c r="C36" s="191" t="s">
        <v>562</v>
      </c>
      <c r="D36" s="191" t="s">
        <v>563</v>
      </c>
      <c r="E36" s="191" t="s">
        <v>385</v>
      </c>
      <c r="F36" s="193" t="s">
        <v>6</v>
      </c>
      <c r="G36" s="194">
        <v>46313</v>
      </c>
      <c r="H36" s="190" t="s">
        <v>751</v>
      </c>
      <c r="I36" s="193" t="s">
        <v>6</v>
      </c>
      <c r="J36" s="194">
        <v>46313</v>
      </c>
      <c r="K36" s="190" t="s">
        <v>751</v>
      </c>
      <c r="L36" s="190" t="s">
        <v>19</v>
      </c>
      <c r="M36" s="195"/>
      <c r="N36" s="157"/>
      <c r="O36" s="157"/>
      <c r="P36" s="157" t="s">
        <v>78</v>
      </c>
    </row>
    <row r="37">
      <c r="A37" s="190" t="s">
        <v>564</v>
      </c>
      <c r="B37" s="191" t="s">
        <v>565</v>
      </c>
      <c r="C37" s="191" t="s">
        <v>568</v>
      </c>
      <c r="D37" s="191" t="s">
        <v>570</v>
      </c>
      <c r="E37" s="191" t="s">
        <v>572</v>
      </c>
      <c r="F37" s="193" t="s">
        <v>6</v>
      </c>
      <c r="G37" s="194">
        <v>46313</v>
      </c>
      <c r="H37" s="190" t="s">
        <v>751</v>
      </c>
      <c r="I37" s="193" t="s">
        <v>6</v>
      </c>
      <c r="J37" s="194">
        <v>46313</v>
      </c>
      <c r="K37" s="190" t="s">
        <v>751</v>
      </c>
      <c r="L37" s="190" t="s">
        <v>19</v>
      </c>
      <c r="M37" s="195"/>
      <c r="N37" s="157"/>
      <c r="O37" s="157"/>
      <c r="P37" s="157" t="s">
        <v>78</v>
      </c>
    </row>
    <row r="38">
      <c r="A38" s="190" t="s">
        <v>574</v>
      </c>
      <c r="B38" s="191" t="s">
        <v>575</v>
      </c>
      <c r="C38" s="191" t="s">
        <v>576</v>
      </c>
      <c r="D38" s="191" t="s">
        <v>577</v>
      </c>
      <c r="E38" s="191" t="s">
        <v>578</v>
      </c>
      <c r="F38" s="193" t="s">
        <v>6</v>
      </c>
      <c r="G38" s="194">
        <v>46313</v>
      </c>
      <c r="H38" s="190" t="s">
        <v>751</v>
      </c>
      <c r="I38" s="193" t="s">
        <v>6</v>
      </c>
      <c r="J38" s="194">
        <v>46313</v>
      </c>
      <c r="K38" s="190" t="s">
        <v>751</v>
      </c>
      <c r="L38" s="190" t="s">
        <v>19</v>
      </c>
      <c r="M38" s="195"/>
      <c r="N38" s="157"/>
      <c r="O38" s="157"/>
      <c r="P38" s="157" t="s">
        <v>78</v>
      </c>
    </row>
    <row r="39">
      <c r="A39" s="190" t="s">
        <v>788</v>
      </c>
      <c r="B39" s="191" t="s">
        <v>789</v>
      </c>
      <c r="C39" s="191" t="s">
        <v>790</v>
      </c>
      <c r="D39" s="191" t="s">
        <v>791</v>
      </c>
      <c r="E39" s="191" t="s">
        <v>780</v>
      </c>
      <c r="F39" s="193" t="s">
        <v>6</v>
      </c>
      <c r="G39" s="194">
        <v>46313</v>
      </c>
      <c r="H39" s="190" t="s">
        <v>751</v>
      </c>
      <c r="I39" s="193" t="s">
        <v>6</v>
      </c>
      <c r="J39" s="194">
        <v>46313</v>
      </c>
      <c r="K39" s="190" t="s">
        <v>751</v>
      </c>
      <c r="L39" s="190" t="s">
        <v>19</v>
      </c>
      <c r="M39" s="195"/>
      <c r="N39" s="157"/>
      <c r="O39" s="157"/>
      <c r="P39" s="157" t="s">
        <v>792</v>
      </c>
    </row>
    <row r="40">
      <c r="A40" s="190" t="s">
        <v>793</v>
      </c>
      <c r="B40" s="191" t="s">
        <v>794</v>
      </c>
      <c r="C40" s="191" t="s">
        <v>795</v>
      </c>
      <c r="D40" s="191" t="s">
        <v>796</v>
      </c>
      <c r="E40" s="191" t="s">
        <v>780</v>
      </c>
      <c r="F40" s="193" t="s">
        <v>6</v>
      </c>
      <c r="G40" s="194">
        <v>46313</v>
      </c>
      <c r="H40" s="190" t="s">
        <v>751</v>
      </c>
      <c r="I40" s="193" t="s">
        <v>6</v>
      </c>
      <c r="J40" s="194">
        <v>46313</v>
      </c>
      <c r="K40" s="190" t="s">
        <v>751</v>
      </c>
      <c r="L40" s="190" t="s">
        <v>19</v>
      </c>
      <c r="M40" s="195"/>
      <c r="N40" s="157"/>
      <c r="O40" s="157"/>
      <c r="P40" s="157" t="s">
        <v>797</v>
      </c>
    </row>
    <row r="41">
      <c r="A41" s="190" t="s">
        <v>798</v>
      </c>
      <c r="B41" s="191" t="s">
        <v>799</v>
      </c>
      <c r="C41" s="191" t="s">
        <v>800</v>
      </c>
      <c r="D41" s="191" t="s">
        <v>801</v>
      </c>
      <c r="E41" s="191" t="s">
        <v>802</v>
      </c>
      <c r="F41" s="193" t="s">
        <v>6</v>
      </c>
      <c r="G41" s="194">
        <v>46313</v>
      </c>
      <c r="H41" s="190" t="s">
        <v>751</v>
      </c>
      <c r="I41" s="193" t="s">
        <v>6</v>
      </c>
      <c r="J41" s="194">
        <v>46313</v>
      </c>
      <c r="K41" s="190" t="s">
        <v>751</v>
      </c>
      <c r="L41" s="190" t="s">
        <v>19</v>
      </c>
      <c r="M41" s="195"/>
      <c r="N41" s="157"/>
      <c r="O41" s="157"/>
      <c r="P41" s="157" t="s">
        <v>803</v>
      </c>
    </row>
    <row r="42">
      <c r="A42" s="190" t="s">
        <v>804</v>
      </c>
      <c r="B42" s="191" t="s">
        <v>805</v>
      </c>
      <c r="C42" s="191" t="s">
        <v>806</v>
      </c>
      <c r="D42" s="191" t="s">
        <v>807</v>
      </c>
      <c r="E42" s="191" t="s">
        <v>808</v>
      </c>
      <c r="F42" s="193" t="s">
        <v>6</v>
      </c>
      <c r="G42" s="194">
        <v>46313</v>
      </c>
      <c r="H42" s="190" t="s">
        <v>751</v>
      </c>
      <c r="I42" s="193" t="s">
        <v>6</v>
      </c>
      <c r="J42" s="194">
        <v>46313</v>
      </c>
      <c r="K42" s="190" t="s">
        <v>751</v>
      </c>
      <c r="L42" s="190" t="s">
        <v>19</v>
      </c>
      <c r="M42" s="195"/>
      <c r="N42" s="157"/>
      <c r="O42" s="157"/>
      <c r="P42" s="157" t="s">
        <v>809</v>
      </c>
    </row>
    <row r="43" ht="15.75" customHeight="1">
      <c r="A43" s="185" t="s">
        <v>133</v>
      </c>
      <c r="B43" s="186"/>
      <c r="C43" s="186"/>
      <c r="D43" s="186"/>
      <c r="E43" s="186"/>
      <c r="F43" s="186"/>
      <c r="G43" s="186"/>
      <c r="H43" s="186"/>
      <c r="I43" s="186"/>
      <c r="J43" s="186"/>
      <c r="K43" s="186"/>
      <c r="L43" s="186"/>
      <c r="M43" s="186"/>
      <c r="N43" s="186"/>
      <c r="O43" s="186"/>
      <c r="P43" s="188"/>
    </row>
    <row r="44">
      <c r="A44" s="190" t="s">
        <v>579</v>
      </c>
      <c r="B44" s="191" t="s">
        <v>580</v>
      </c>
      <c r="C44" s="191" t="s">
        <v>581</v>
      </c>
      <c r="D44" s="191" t="s">
        <v>582</v>
      </c>
      <c r="E44" s="191" t="s">
        <v>385</v>
      </c>
      <c r="F44" s="193" t="s">
        <v>6</v>
      </c>
      <c r="G44" s="194">
        <v>46313</v>
      </c>
      <c r="H44" s="190" t="s">
        <v>751</v>
      </c>
      <c r="I44" s="193" t="s">
        <v>6</v>
      </c>
      <c r="J44" s="194">
        <v>46313</v>
      </c>
      <c r="K44" s="190" t="s">
        <v>751</v>
      </c>
      <c r="L44" s="190" t="s">
        <v>19</v>
      </c>
      <c r="M44" s="195"/>
      <c r="N44" s="157"/>
      <c r="O44" s="157"/>
      <c r="P44" s="157" t="s">
        <v>78</v>
      </c>
    </row>
    <row r="45">
      <c r="A45" s="190" t="s">
        <v>588</v>
      </c>
      <c r="B45" s="191" t="s">
        <v>589</v>
      </c>
      <c r="C45" s="191" t="s">
        <v>590</v>
      </c>
      <c r="D45" s="191" t="s">
        <v>591</v>
      </c>
      <c r="E45" s="191" t="s">
        <v>385</v>
      </c>
      <c r="F45" s="193" t="s">
        <v>6</v>
      </c>
      <c r="G45" s="194">
        <v>46313</v>
      </c>
      <c r="H45" s="190" t="s">
        <v>751</v>
      </c>
      <c r="I45" s="193" t="s">
        <v>6</v>
      </c>
      <c r="J45" s="194">
        <v>46313</v>
      </c>
      <c r="K45" s="190" t="s">
        <v>751</v>
      </c>
      <c r="L45" s="190" t="s">
        <v>19</v>
      </c>
      <c r="M45" s="195"/>
      <c r="N45" s="157"/>
      <c r="O45" s="157"/>
      <c r="P45" s="157" t="s">
        <v>78</v>
      </c>
    </row>
    <row r="46">
      <c r="A46" s="190" t="s">
        <v>596</v>
      </c>
      <c r="B46" s="191" t="s">
        <v>598</v>
      </c>
      <c r="C46" s="191" t="s">
        <v>599</v>
      </c>
      <c r="D46" s="191" t="s">
        <v>600</v>
      </c>
      <c r="E46" s="191" t="s">
        <v>385</v>
      </c>
      <c r="F46" s="193" t="s">
        <v>6</v>
      </c>
      <c r="G46" s="194">
        <v>46313</v>
      </c>
      <c r="H46" s="190" t="s">
        <v>751</v>
      </c>
      <c r="I46" s="193" t="s">
        <v>6</v>
      </c>
      <c r="J46" s="194">
        <v>46313</v>
      </c>
      <c r="K46" s="190" t="s">
        <v>751</v>
      </c>
      <c r="L46" s="190" t="s">
        <v>19</v>
      </c>
      <c r="M46" s="195"/>
      <c r="N46" s="157"/>
      <c r="O46" s="157"/>
      <c r="P46" s="157" t="s">
        <v>78</v>
      </c>
    </row>
    <row r="47">
      <c r="A47" s="190" t="s">
        <v>601</v>
      </c>
      <c r="B47" s="191" t="s">
        <v>602</v>
      </c>
      <c r="C47" s="191" t="s">
        <v>603</v>
      </c>
      <c r="D47" s="191" t="s">
        <v>604</v>
      </c>
      <c r="E47" s="191" t="s">
        <v>385</v>
      </c>
      <c r="F47" s="193" t="s">
        <v>6</v>
      </c>
      <c r="G47" s="194">
        <v>46313</v>
      </c>
      <c r="H47" s="190" t="s">
        <v>751</v>
      </c>
      <c r="I47" s="193" t="s">
        <v>6</v>
      </c>
      <c r="J47" s="194">
        <v>46313</v>
      </c>
      <c r="K47" s="190" t="s">
        <v>751</v>
      </c>
      <c r="L47" s="190" t="s">
        <v>19</v>
      </c>
      <c r="M47" s="195"/>
      <c r="N47" s="157"/>
      <c r="O47" s="157"/>
      <c r="P47" s="157" t="s">
        <v>78</v>
      </c>
    </row>
    <row r="48">
      <c r="A48" s="190" t="s">
        <v>610</v>
      </c>
      <c r="B48" s="191" t="s">
        <v>611</v>
      </c>
      <c r="C48" s="191" t="s">
        <v>612</v>
      </c>
      <c r="D48" s="191" t="s">
        <v>613</v>
      </c>
      <c r="E48" s="191" t="s">
        <v>385</v>
      </c>
      <c r="F48" s="193" t="s">
        <v>6</v>
      </c>
      <c r="G48" s="194">
        <v>46313</v>
      </c>
      <c r="H48" s="190" t="s">
        <v>751</v>
      </c>
      <c r="I48" s="193" t="s">
        <v>6</v>
      </c>
      <c r="J48" s="194">
        <v>46313</v>
      </c>
      <c r="K48" s="190" t="s">
        <v>751</v>
      </c>
      <c r="L48" s="190" t="s">
        <v>19</v>
      </c>
      <c r="M48" s="195"/>
      <c r="N48" s="157"/>
      <c r="O48" s="157"/>
      <c r="P48" s="157" t="s">
        <v>614</v>
      </c>
    </row>
    <row r="49">
      <c r="A49" s="190" t="s">
        <v>615</v>
      </c>
      <c r="B49" s="191" t="s">
        <v>616</v>
      </c>
      <c r="C49" s="191" t="s">
        <v>617</v>
      </c>
      <c r="D49" s="191" t="s">
        <v>618</v>
      </c>
      <c r="E49" s="191" t="s">
        <v>385</v>
      </c>
      <c r="F49" s="193" t="s">
        <v>6</v>
      </c>
      <c r="G49" s="194">
        <v>46313</v>
      </c>
      <c r="H49" s="190" t="s">
        <v>751</v>
      </c>
      <c r="I49" s="193" t="s">
        <v>6</v>
      </c>
      <c r="J49" s="194">
        <v>46313</v>
      </c>
      <c r="K49" s="190" t="s">
        <v>751</v>
      </c>
      <c r="L49" s="190" t="s">
        <v>19</v>
      </c>
      <c r="M49" s="195"/>
      <c r="N49" s="157"/>
      <c r="O49" s="157"/>
      <c r="P49" s="157" t="s">
        <v>624</v>
      </c>
    </row>
    <row r="50">
      <c r="A50" s="190" t="s">
        <v>625</v>
      </c>
      <c r="B50" s="191" t="s">
        <v>626</v>
      </c>
      <c r="C50" s="191" t="s">
        <v>627</v>
      </c>
      <c r="D50" s="191" t="s">
        <v>628</v>
      </c>
      <c r="E50" s="191" t="s">
        <v>385</v>
      </c>
      <c r="F50" s="193" t="s">
        <v>6</v>
      </c>
      <c r="G50" s="194">
        <v>46313</v>
      </c>
      <c r="H50" s="190" t="s">
        <v>751</v>
      </c>
      <c r="I50" s="193" t="s">
        <v>6</v>
      </c>
      <c r="J50" s="194">
        <v>46313</v>
      </c>
      <c r="K50" s="190" t="s">
        <v>751</v>
      </c>
      <c r="L50" s="190" t="s">
        <v>19</v>
      </c>
      <c r="M50" s="195"/>
      <c r="N50" s="157"/>
      <c r="O50" s="157"/>
      <c r="P50" s="157" t="s">
        <v>629</v>
      </c>
    </row>
    <row r="51">
      <c r="A51" s="190" t="s">
        <v>630</v>
      </c>
      <c r="B51" s="191" t="s">
        <v>631</v>
      </c>
      <c r="C51" s="191" t="s">
        <v>633</v>
      </c>
      <c r="D51" s="191" t="s">
        <v>635</v>
      </c>
      <c r="E51" s="191" t="s">
        <v>385</v>
      </c>
      <c r="F51" s="193" t="s">
        <v>6</v>
      </c>
      <c r="G51" s="194">
        <v>46313</v>
      </c>
      <c r="H51" s="190" t="s">
        <v>751</v>
      </c>
      <c r="I51" s="193" t="s">
        <v>6</v>
      </c>
      <c r="J51" s="194">
        <v>46313</v>
      </c>
      <c r="K51" s="190" t="s">
        <v>751</v>
      </c>
      <c r="L51" s="190" t="s">
        <v>19</v>
      </c>
      <c r="M51" s="195"/>
      <c r="N51" s="157"/>
      <c r="O51" s="157"/>
      <c r="P51" s="157" t="s">
        <v>78</v>
      </c>
    </row>
    <row r="52">
      <c r="A52" s="190" t="s">
        <v>639</v>
      </c>
      <c r="B52" s="191" t="s">
        <v>640</v>
      </c>
      <c r="C52" s="191" t="s">
        <v>641</v>
      </c>
      <c r="D52" s="191" t="s">
        <v>642</v>
      </c>
      <c r="E52" s="191" t="s">
        <v>643</v>
      </c>
      <c r="F52" s="193" t="s">
        <v>6</v>
      </c>
      <c r="G52" s="194">
        <v>46313</v>
      </c>
      <c r="H52" s="190" t="s">
        <v>751</v>
      </c>
      <c r="I52" s="193" t="s">
        <v>6</v>
      </c>
      <c r="J52" s="194">
        <v>46313</v>
      </c>
      <c r="K52" s="190" t="s">
        <v>751</v>
      </c>
      <c r="L52" s="190" t="s">
        <v>19</v>
      </c>
      <c r="M52" s="195"/>
      <c r="N52" s="157"/>
      <c r="O52" s="157"/>
      <c r="P52" s="157" t="s">
        <v>644</v>
      </c>
    </row>
    <row r="53">
      <c r="A53" s="190" t="s">
        <v>645</v>
      </c>
      <c r="B53" s="191" t="s">
        <v>646</v>
      </c>
      <c r="C53" s="191" t="s">
        <v>647</v>
      </c>
      <c r="D53" s="191" t="s">
        <v>648</v>
      </c>
      <c r="E53" s="191" t="s">
        <v>385</v>
      </c>
      <c r="F53" s="193" t="s">
        <v>6</v>
      </c>
      <c r="G53" s="194">
        <v>46313</v>
      </c>
      <c r="H53" s="190" t="s">
        <v>751</v>
      </c>
      <c r="I53" s="193" t="s">
        <v>6</v>
      </c>
      <c r="J53" s="194">
        <v>46313</v>
      </c>
      <c r="K53" s="190" t="s">
        <v>751</v>
      </c>
      <c r="L53" s="190" t="s">
        <v>19</v>
      </c>
      <c r="M53" s="195"/>
      <c r="N53" s="157"/>
      <c r="O53" s="157"/>
      <c r="P53" s="157" t="s">
        <v>78</v>
      </c>
    </row>
    <row r="54">
      <c r="A54" s="190" t="s">
        <v>649</v>
      </c>
      <c r="B54" s="191" t="s">
        <v>650</v>
      </c>
      <c r="C54" s="191" t="s">
        <v>651</v>
      </c>
      <c r="D54" s="191" t="s">
        <v>652</v>
      </c>
      <c r="E54" s="191" t="s">
        <v>385</v>
      </c>
      <c r="F54" s="193" t="s">
        <v>6</v>
      </c>
      <c r="G54" s="194">
        <v>46313</v>
      </c>
      <c r="H54" s="190" t="s">
        <v>751</v>
      </c>
      <c r="I54" s="193" t="s">
        <v>6</v>
      </c>
      <c r="J54" s="194">
        <v>46313</v>
      </c>
      <c r="K54" s="190" t="s">
        <v>751</v>
      </c>
      <c r="L54" s="190" t="s">
        <v>19</v>
      </c>
      <c r="M54" s="195"/>
      <c r="N54" s="157"/>
      <c r="O54" s="157"/>
      <c r="P54" s="157" t="s">
        <v>78</v>
      </c>
    </row>
    <row r="55">
      <c r="A55" s="190" t="s">
        <v>653</v>
      </c>
      <c r="B55" s="191" t="s">
        <v>654</v>
      </c>
      <c r="C55" s="191" t="s">
        <v>655</v>
      </c>
      <c r="D55" s="191" t="s">
        <v>656</v>
      </c>
      <c r="E55" s="191" t="s">
        <v>385</v>
      </c>
      <c r="F55" s="193" t="s">
        <v>6</v>
      </c>
      <c r="G55" s="194">
        <v>46313</v>
      </c>
      <c r="H55" s="190" t="s">
        <v>751</v>
      </c>
      <c r="I55" s="193" t="s">
        <v>6</v>
      </c>
      <c r="J55" s="194">
        <v>46313</v>
      </c>
      <c r="K55" s="190" t="s">
        <v>751</v>
      </c>
      <c r="L55" s="190" t="s">
        <v>19</v>
      </c>
      <c r="M55" s="195"/>
      <c r="N55" s="157"/>
      <c r="O55" s="157"/>
      <c r="P55" s="157" t="s">
        <v>78</v>
      </c>
    </row>
    <row r="56">
      <c r="A56" s="190" t="s">
        <v>657</v>
      </c>
      <c r="B56" s="191" t="s">
        <v>658</v>
      </c>
      <c r="C56" s="191" t="s">
        <v>659</v>
      </c>
      <c r="D56" s="191" t="s">
        <v>660</v>
      </c>
      <c r="E56" s="191" t="s">
        <v>661</v>
      </c>
      <c r="F56" s="193" t="s">
        <v>6</v>
      </c>
      <c r="G56" s="194">
        <v>46313</v>
      </c>
      <c r="H56" s="190" t="s">
        <v>751</v>
      </c>
      <c r="I56" s="193" t="s">
        <v>6</v>
      </c>
      <c r="J56" s="194">
        <v>46313</v>
      </c>
      <c r="K56" s="190" t="s">
        <v>751</v>
      </c>
      <c r="L56" s="190" t="s">
        <v>19</v>
      </c>
      <c r="M56" s="195"/>
      <c r="N56" s="157"/>
      <c r="O56" s="157"/>
      <c r="P56" s="157" t="s">
        <v>666</v>
      </c>
    </row>
    <row r="57">
      <c r="A57" s="190" t="s">
        <v>668</v>
      </c>
      <c r="B57" s="191" t="s">
        <v>669</v>
      </c>
      <c r="C57" s="191" t="s">
        <v>670</v>
      </c>
      <c r="D57" s="191" t="s">
        <v>671</v>
      </c>
      <c r="E57" s="191" t="s">
        <v>385</v>
      </c>
      <c r="F57" s="193" t="s">
        <v>6</v>
      </c>
      <c r="G57" s="194">
        <v>46313</v>
      </c>
      <c r="H57" s="190" t="s">
        <v>751</v>
      </c>
      <c r="I57" s="193" t="s">
        <v>6</v>
      </c>
      <c r="J57" s="194">
        <v>46313</v>
      </c>
      <c r="K57" s="190" t="s">
        <v>751</v>
      </c>
      <c r="L57" s="190" t="s">
        <v>19</v>
      </c>
      <c r="M57" s="195"/>
      <c r="N57" s="157"/>
      <c r="O57" s="157"/>
      <c r="P57" s="157" t="s">
        <v>78</v>
      </c>
    </row>
    <row r="58">
      <c r="A58" s="190" t="s">
        <v>672</v>
      </c>
      <c r="B58" s="191" t="s">
        <v>673</v>
      </c>
      <c r="C58" s="191" t="s">
        <v>674</v>
      </c>
      <c r="D58" s="191" t="s">
        <v>676</v>
      </c>
      <c r="E58" s="191" t="s">
        <v>385</v>
      </c>
      <c r="F58" s="193" t="s">
        <v>6</v>
      </c>
      <c r="G58" s="194">
        <v>46313</v>
      </c>
      <c r="H58" s="190" t="s">
        <v>751</v>
      </c>
      <c r="I58" s="193" t="s">
        <v>6</v>
      </c>
      <c r="J58" s="194">
        <v>46313</v>
      </c>
      <c r="K58" s="190" t="s">
        <v>751</v>
      </c>
      <c r="L58" s="190" t="s">
        <v>19</v>
      </c>
      <c r="M58" s="195"/>
      <c r="N58" s="157"/>
      <c r="O58" s="157"/>
      <c r="P58" s="157" t="s">
        <v>78</v>
      </c>
    </row>
    <row r="59">
      <c r="A59" s="190" t="s">
        <v>680</v>
      </c>
      <c r="B59" s="191" t="s">
        <v>681</v>
      </c>
      <c r="C59" s="191" t="s">
        <v>682</v>
      </c>
      <c r="D59" s="191" t="s">
        <v>683</v>
      </c>
      <c r="E59" s="191" t="s">
        <v>684</v>
      </c>
      <c r="F59" s="193" t="s">
        <v>6</v>
      </c>
      <c r="G59" s="194">
        <v>46313</v>
      </c>
      <c r="H59" s="190" t="s">
        <v>751</v>
      </c>
      <c r="I59" s="193" t="s">
        <v>6</v>
      </c>
      <c r="J59" s="194">
        <v>46313</v>
      </c>
      <c r="K59" s="190" t="s">
        <v>751</v>
      </c>
      <c r="L59" s="190" t="s">
        <v>19</v>
      </c>
      <c r="M59" s="195"/>
      <c r="N59" s="157"/>
      <c r="O59" s="157"/>
      <c r="P59" s="157" t="s">
        <v>687</v>
      </c>
    </row>
    <row r="60">
      <c r="A60" s="190" t="s">
        <v>689</v>
      </c>
      <c r="B60" s="191" t="s">
        <v>691</v>
      </c>
      <c r="C60" s="191" t="s">
        <v>692</v>
      </c>
      <c r="D60" s="191" t="s">
        <v>693</v>
      </c>
      <c r="E60" s="191" t="s">
        <v>694</v>
      </c>
      <c r="F60" s="193" t="s">
        <v>6</v>
      </c>
      <c r="G60" s="194">
        <v>46313</v>
      </c>
      <c r="H60" s="190" t="s">
        <v>751</v>
      </c>
      <c r="I60" s="193" t="s">
        <v>6</v>
      </c>
      <c r="J60" s="194">
        <v>46313</v>
      </c>
      <c r="K60" s="190" t="s">
        <v>751</v>
      </c>
      <c r="L60" s="190" t="s">
        <v>19</v>
      </c>
      <c r="M60" s="195"/>
      <c r="N60" s="157"/>
      <c r="O60" s="157"/>
      <c r="P60" s="157" t="s">
        <v>695</v>
      </c>
    </row>
    <row r="61">
      <c r="A61" s="190" t="s">
        <v>696</v>
      </c>
      <c r="B61" s="191" t="s">
        <v>697</v>
      </c>
      <c r="C61" s="191" t="s">
        <v>698</v>
      </c>
      <c r="D61" s="191" t="s">
        <v>699</v>
      </c>
      <c r="E61" s="191" t="s">
        <v>385</v>
      </c>
      <c r="F61" s="193" t="s">
        <v>6</v>
      </c>
      <c r="G61" s="194">
        <v>46313</v>
      </c>
      <c r="H61" s="190" t="s">
        <v>751</v>
      </c>
      <c r="I61" s="193" t="s">
        <v>6</v>
      </c>
      <c r="J61" s="194">
        <v>46313</v>
      </c>
      <c r="K61" s="190" t="s">
        <v>751</v>
      </c>
      <c r="L61" s="190" t="s">
        <v>19</v>
      </c>
      <c r="M61" s="195"/>
      <c r="N61" s="157"/>
      <c r="O61" s="157"/>
      <c r="P61" s="157" t="s">
        <v>78</v>
      </c>
    </row>
    <row r="62">
      <c r="A62" s="190" t="s">
        <v>705</v>
      </c>
      <c r="B62" s="191" t="s">
        <v>706</v>
      </c>
      <c r="C62" s="191" t="s">
        <v>707</v>
      </c>
      <c r="D62" s="191" t="s">
        <v>708</v>
      </c>
      <c r="E62" s="191" t="s">
        <v>709</v>
      </c>
      <c r="F62" s="193" t="s">
        <v>6</v>
      </c>
      <c r="G62" s="194">
        <v>46313</v>
      </c>
      <c r="H62" s="190" t="s">
        <v>751</v>
      </c>
      <c r="I62" s="193" t="s">
        <v>6</v>
      </c>
      <c r="J62" s="194">
        <v>46313</v>
      </c>
      <c r="K62" s="190" t="s">
        <v>751</v>
      </c>
      <c r="L62" s="190" t="s">
        <v>19</v>
      </c>
      <c r="M62" s="195"/>
      <c r="N62" s="157"/>
      <c r="O62" s="157"/>
      <c r="P62" s="157" t="s">
        <v>712</v>
      </c>
    </row>
    <row r="63">
      <c r="A63" s="190" t="s">
        <v>713</v>
      </c>
      <c r="B63" s="191" t="s">
        <v>714</v>
      </c>
      <c r="C63" s="191" t="s">
        <v>716</v>
      </c>
      <c r="D63" s="191" t="s">
        <v>718</v>
      </c>
      <c r="E63" s="191" t="s">
        <v>720</v>
      </c>
      <c r="F63" s="193" t="s">
        <v>6</v>
      </c>
      <c r="G63" s="194">
        <v>46313</v>
      </c>
      <c r="H63" s="190" t="s">
        <v>751</v>
      </c>
      <c r="I63" s="193" t="s">
        <v>6</v>
      </c>
      <c r="J63" s="194">
        <v>46313</v>
      </c>
      <c r="K63" s="190" t="s">
        <v>751</v>
      </c>
      <c r="L63" s="190" t="s">
        <v>19</v>
      </c>
      <c r="M63" s="195"/>
      <c r="N63" s="157"/>
      <c r="O63" s="157"/>
      <c r="P63" s="157" t="s">
        <v>810</v>
      </c>
    </row>
    <row r="64">
      <c r="A64" s="190" t="s">
        <v>811</v>
      </c>
      <c r="B64" s="191" t="s">
        <v>812</v>
      </c>
      <c r="C64" s="191" t="s">
        <v>813</v>
      </c>
      <c r="D64" s="191" t="s">
        <v>814</v>
      </c>
      <c r="E64" s="191" t="s">
        <v>815</v>
      </c>
      <c r="F64" s="193" t="s">
        <v>6</v>
      </c>
      <c r="G64" s="194">
        <v>46313</v>
      </c>
      <c r="H64" s="190" t="s">
        <v>751</v>
      </c>
      <c r="I64" s="193" t="s">
        <v>6</v>
      </c>
      <c r="J64" s="194">
        <v>46313</v>
      </c>
      <c r="K64" s="190" t="s">
        <v>751</v>
      </c>
      <c r="L64" s="190" t="s">
        <v>19</v>
      </c>
      <c r="M64" s="195"/>
      <c r="N64" s="157"/>
      <c r="O64" s="157"/>
      <c r="P64" s="157" t="s">
        <v>816</v>
      </c>
    </row>
    <row r="65">
      <c r="A65" s="190" t="s">
        <v>817</v>
      </c>
      <c r="B65" s="191" t="s">
        <v>818</v>
      </c>
      <c r="C65" s="191" t="s">
        <v>819</v>
      </c>
      <c r="D65" s="191" t="s">
        <v>820</v>
      </c>
      <c r="E65" s="191" t="s">
        <v>821</v>
      </c>
      <c r="F65" s="193" t="s">
        <v>6</v>
      </c>
      <c r="G65" s="194">
        <v>46313</v>
      </c>
      <c r="H65" s="190" t="s">
        <v>751</v>
      </c>
      <c r="I65" s="193" t="s">
        <v>6</v>
      </c>
      <c r="J65" s="194">
        <v>46313</v>
      </c>
      <c r="K65" s="190" t="s">
        <v>751</v>
      </c>
      <c r="L65" s="190" t="s">
        <v>19</v>
      </c>
      <c r="M65" s="195"/>
      <c r="N65" s="157"/>
      <c r="O65" s="157"/>
      <c r="P65" s="157" t="s">
        <v>822</v>
      </c>
    </row>
    <row r="66">
      <c r="A66" s="190" t="s">
        <v>823</v>
      </c>
      <c r="B66" s="191" t="s">
        <v>824</v>
      </c>
      <c r="C66" s="191" t="s">
        <v>825</v>
      </c>
      <c r="D66" s="191" t="s">
        <v>826</v>
      </c>
      <c r="E66" s="191" t="s">
        <v>827</v>
      </c>
      <c r="F66" s="193" t="s">
        <v>6</v>
      </c>
      <c r="G66" s="194">
        <v>46313</v>
      </c>
      <c r="H66" s="190" t="s">
        <v>751</v>
      </c>
      <c r="I66" s="193" t="s">
        <v>6</v>
      </c>
      <c r="J66" s="194">
        <v>46313</v>
      </c>
      <c r="K66" s="190" t="s">
        <v>751</v>
      </c>
      <c r="L66" s="190" t="s">
        <v>19</v>
      </c>
      <c r="M66" s="195"/>
      <c r="N66" s="157"/>
      <c r="O66" s="157"/>
      <c r="P66" s="157" t="s">
        <v>828</v>
      </c>
    </row>
    <row r="67">
      <c r="A67" s="190" t="s">
        <v>829</v>
      </c>
      <c r="B67" s="191" t="s">
        <v>830</v>
      </c>
      <c r="C67" s="191" t="s">
        <v>831</v>
      </c>
      <c r="D67" s="191" t="s">
        <v>832</v>
      </c>
      <c r="E67" s="191" t="s">
        <v>808</v>
      </c>
      <c r="F67" s="193" t="s">
        <v>6</v>
      </c>
      <c r="G67" s="194">
        <v>46313</v>
      </c>
      <c r="H67" s="190" t="s">
        <v>751</v>
      </c>
      <c r="I67" s="193" t="s">
        <v>6</v>
      </c>
      <c r="J67" s="194">
        <v>46313</v>
      </c>
      <c r="K67" s="190" t="s">
        <v>751</v>
      </c>
      <c r="L67" s="190" t="s">
        <v>19</v>
      </c>
      <c r="M67" s="195"/>
      <c r="N67" s="157"/>
      <c r="O67" s="157"/>
      <c r="P67" s="157" t="s">
        <v>833</v>
      </c>
    </row>
    <row r="68" ht="15.75" customHeight="1">
      <c r="A68" s="185" t="s">
        <v>834</v>
      </c>
      <c r="B68" s="186"/>
      <c r="C68" s="186"/>
      <c r="D68" s="186"/>
      <c r="E68" s="186"/>
      <c r="F68" s="186"/>
      <c r="G68" s="186"/>
      <c r="H68" s="186"/>
      <c r="I68" s="186"/>
      <c r="J68" s="186"/>
      <c r="K68" s="186"/>
      <c r="L68" s="186"/>
      <c r="M68" s="186"/>
      <c r="N68" s="186"/>
      <c r="O68" s="186"/>
      <c r="P68" s="188"/>
    </row>
    <row r="69">
      <c r="A69" s="190" t="s">
        <v>835</v>
      </c>
      <c r="B69" s="191" t="s">
        <v>836</v>
      </c>
      <c r="C69" s="191" t="s">
        <v>837</v>
      </c>
      <c r="D69" s="191" t="s">
        <v>838</v>
      </c>
      <c r="E69" s="191" t="s">
        <v>839</v>
      </c>
      <c r="F69" s="193" t="s">
        <v>6</v>
      </c>
      <c r="G69" s="194">
        <v>46313</v>
      </c>
      <c r="H69" s="190" t="s">
        <v>751</v>
      </c>
      <c r="I69" s="193" t="s">
        <v>6</v>
      </c>
      <c r="J69" s="194">
        <v>46313</v>
      </c>
      <c r="K69" s="190" t="s">
        <v>751</v>
      </c>
      <c r="L69" s="190" t="s">
        <v>19</v>
      </c>
      <c r="M69" s="195"/>
      <c r="N69" s="157"/>
      <c r="O69" s="157"/>
      <c r="P69" s="157" t="s">
        <v>840</v>
      </c>
    </row>
    <row r="70">
      <c r="A70" s="190" t="s">
        <v>841</v>
      </c>
      <c r="B70" s="191" t="s">
        <v>842</v>
      </c>
      <c r="C70" s="191" t="s">
        <v>843</v>
      </c>
      <c r="D70" s="191" t="s">
        <v>844</v>
      </c>
      <c r="E70" s="191" t="s">
        <v>845</v>
      </c>
      <c r="F70" s="193" t="s">
        <v>6</v>
      </c>
      <c r="G70" s="194">
        <v>46313</v>
      </c>
      <c r="H70" s="190" t="s">
        <v>751</v>
      </c>
      <c r="I70" s="193" t="s">
        <v>6</v>
      </c>
      <c r="J70" s="194">
        <v>46313</v>
      </c>
      <c r="K70" s="190" t="s">
        <v>751</v>
      </c>
      <c r="L70" s="190" t="s">
        <v>19</v>
      </c>
      <c r="M70" s="195"/>
      <c r="N70" s="157"/>
      <c r="O70" s="157"/>
      <c r="P70" s="157" t="s">
        <v>846</v>
      </c>
    </row>
    <row r="71">
      <c r="A71" s="190" t="s">
        <v>847</v>
      </c>
      <c r="B71" s="191" t="s">
        <v>848</v>
      </c>
      <c r="C71" s="191" t="s">
        <v>849</v>
      </c>
      <c r="D71" s="191" t="s">
        <v>850</v>
      </c>
      <c r="E71" s="191" t="s">
        <v>851</v>
      </c>
      <c r="F71" s="193" t="s">
        <v>6</v>
      </c>
      <c r="G71" s="194">
        <v>46313</v>
      </c>
      <c r="H71" s="190" t="s">
        <v>751</v>
      </c>
      <c r="I71" s="193" t="s">
        <v>6</v>
      </c>
      <c r="J71" s="194">
        <v>46313</v>
      </c>
      <c r="K71" s="190" t="s">
        <v>751</v>
      </c>
      <c r="L71" s="190" t="s">
        <v>19</v>
      </c>
      <c r="M71" s="195"/>
      <c r="N71" s="157"/>
      <c r="O71" s="157"/>
      <c r="P71" s="157" t="s">
        <v>852</v>
      </c>
    </row>
    <row r="72">
      <c r="A72" s="190" t="s">
        <v>853</v>
      </c>
      <c r="B72" s="191" t="s">
        <v>854</v>
      </c>
      <c r="C72" s="191" t="s">
        <v>855</v>
      </c>
      <c r="D72" s="191" t="s">
        <v>856</v>
      </c>
      <c r="E72" s="191" t="s">
        <v>857</v>
      </c>
      <c r="F72" s="193" t="s">
        <v>6</v>
      </c>
      <c r="G72" s="194">
        <v>46313</v>
      </c>
      <c r="H72" s="190" t="s">
        <v>751</v>
      </c>
      <c r="I72" s="193" t="s">
        <v>6</v>
      </c>
      <c r="J72" s="194">
        <v>46313</v>
      </c>
      <c r="K72" s="190" t="s">
        <v>751</v>
      </c>
      <c r="L72" s="190" t="s">
        <v>19</v>
      </c>
      <c r="M72" s="195"/>
      <c r="N72" s="157"/>
      <c r="O72" s="157"/>
      <c r="P72" s="157" t="s">
        <v>858</v>
      </c>
    </row>
    <row r="73">
      <c r="A73" s="190" t="s">
        <v>859</v>
      </c>
      <c r="B73" s="191" t="s">
        <v>860</v>
      </c>
      <c r="C73" s="191" t="s">
        <v>861</v>
      </c>
      <c r="D73" s="191" t="s">
        <v>862</v>
      </c>
      <c r="E73" s="191" t="s">
        <v>863</v>
      </c>
      <c r="F73" s="193" t="s">
        <v>6</v>
      </c>
      <c r="G73" s="194">
        <v>46313</v>
      </c>
      <c r="H73" s="190" t="s">
        <v>751</v>
      </c>
      <c r="I73" s="193" t="s">
        <v>6</v>
      </c>
      <c r="J73" s="194">
        <v>46313</v>
      </c>
      <c r="K73" s="190" t="s">
        <v>751</v>
      </c>
      <c r="L73" s="190" t="s">
        <v>19</v>
      </c>
      <c r="M73" s="195"/>
      <c r="N73" s="157"/>
      <c r="O73" s="157"/>
      <c r="P73" s="157" t="s">
        <v>864</v>
      </c>
    </row>
    <row r="74">
      <c r="A74" s="190" t="s">
        <v>865</v>
      </c>
      <c r="B74" s="191" t="s">
        <v>866</v>
      </c>
      <c r="C74" s="191" t="s">
        <v>867</v>
      </c>
      <c r="D74" s="191" t="s">
        <v>868</v>
      </c>
      <c r="E74" s="191" t="s">
        <v>869</v>
      </c>
      <c r="F74" s="193" t="s">
        <v>6</v>
      </c>
      <c r="G74" s="194">
        <v>46313</v>
      </c>
      <c r="H74" s="190" t="s">
        <v>751</v>
      </c>
      <c r="I74" s="193" t="s">
        <v>6</v>
      </c>
      <c r="J74" s="194">
        <v>46313</v>
      </c>
      <c r="K74" s="190" t="s">
        <v>751</v>
      </c>
      <c r="L74" s="190" t="s">
        <v>19</v>
      </c>
      <c r="M74" s="195"/>
      <c r="N74" s="157"/>
      <c r="O74" s="157"/>
      <c r="P74" s="157" t="s">
        <v>870</v>
      </c>
    </row>
    <row r="75">
      <c r="A75" s="190" t="s">
        <v>871</v>
      </c>
      <c r="B75" s="191" t="s">
        <v>872</v>
      </c>
      <c r="C75" s="191" t="s">
        <v>873</v>
      </c>
      <c r="D75" s="191" t="s">
        <v>874</v>
      </c>
      <c r="E75" s="191" t="s">
        <v>875</v>
      </c>
      <c r="F75" s="193" t="s">
        <v>6</v>
      </c>
      <c r="G75" s="194">
        <v>46313</v>
      </c>
      <c r="H75" s="190" t="s">
        <v>751</v>
      </c>
      <c r="I75" s="193" t="s">
        <v>6</v>
      </c>
      <c r="J75" s="194">
        <v>46313</v>
      </c>
      <c r="K75" s="190" t="s">
        <v>751</v>
      </c>
      <c r="L75" s="190" t="s">
        <v>19</v>
      </c>
      <c r="M75" s="195"/>
      <c r="N75" s="157"/>
      <c r="O75" s="157"/>
      <c r="P75" s="157" t="s">
        <v>876</v>
      </c>
    </row>
    <row r="76">
      <c r="A76" s="190" t="s">
        <v>877</v>
      </c>
      <c r="B76" s="191" t="s">
        <v>878</v>
      </c>
      <c r="C76" s="191" t="s">
        <v>879</v>
      </c>
      <c r="D76" s="191" t="s">
        <v>880</v>
      </c>
      <c r="E76" s="191" t="s">
        <v>881</v>
      </c>
      <c r="F76" s="193" t="s">
        <v>6</v>
      </c>
      <c r="G76" s="194">
        <v>46313</v>
      </c>
      <c r="H76" s="190" t="s">
        <v>751</v>
      </c>
      <c r="I76" s="193" t="s">
        <v>6</v>
      </c>
      <c r="J76" s="194">
        <v>46313</v>
      </c>
      <c r="K76" s="190" t="s">
        <v>751</v>
      </c>
      <c r="L76" s="190" t="s">
        <v>19</v>
      </c>
      <c r="M76" s="195"/>
      <c r="N76" s="157"/>
      <c r="O76" s="157"/>
      <c r="P76" s="157" t="s">
        <v>882</v>
      </c>
    </row>
    <row r="77">
      <c r="A77" s="190" t="s">
        <v>883</v>
      </c>
      <c r="B77" s="191" t="s">
        <v>884</v>
      </c>
      <c r="C77" s="191" t="s">
        <v>885</v>
      </c>
      <c r="D77" s="191" t="s">
        <v>886</v>
      </c>
      <c r="E77" s="191" t="s">
        <v>887</v>
      </c>
      <c r="F77" s="193" t="s">
        <v>6</v>
      </c>
      <c r="G77" s="194">
        <v>46313</v>
      </c>
      <c r="H77" s="190" t="s">
        <v>751</v>
      </c>
      <c r="I77" s="193" t="s">
        <v>6</v>
      </c>
      <c r="J77" s="194">
        <v>46313</v>
      </c>
      <c r="K77" s="190" t="s">
        <v>751</v>
      </c>
      <c r="L77" s="190" t="s">
        <v>19</v>
      </c>
      <c r="M77" s="195"/>
      <c r="N77" s="157"/>
      <c r="O77" s="157"/>
      <c r="P77" s="157" t="s">
        <v>888</v>
      </c>
    </row>
    <row r="78">
      <c r="A78" s="190" t="s">
        <v>889</v>
      </c>
      <c r="B78" s="191" t="s">
        <v>890</v>
      </c>
      <c r="C78" s="191" t="s">
        <v>891</v>
      </c>
      <c r="D78" s="191" t="s">
        <v>892</v>
      </c>
      <c r="E78" s="191" t="s">
        <v>893</v>
      </c>
      <c r="F78" s="193" t="s">
        <v>6</v>
      </c>
      <c r="G78" s="194">
        <v>46313</v>
      </c>
      <c r="H78" s="190" t="s">
        <v>751</v>
      </c>
      <c r="I78" s="193" t="s">
        <v>6</v>
      </c>
      <c r="J78" s="194">
        <v>46313</v>
      </c>
      <c r="K78" s="190" t="s">
        <v>751</v>
      </c>
      <c r="L78" s="190" t="s">
        <v>19</v>
      </c>
      <c r="M78" s="195"/>
      <c r="N78" s="157"/>
      <c r="O78" s="157"/>
      <c r="P78" s="157" t="s">
        <v>894</v>
      </c>
    </row>
    <row r="79">
      <c r="A79" s="190" t="s">
        <v>895</v>
      </c>
      <c r="B79" s="191" t="s">
        <v>896</v>
      </c>
      <c r="C79" s="191" t="s">
        <v>897</v>
      </c>
      <c r="D79" s="191" t="s">
        <v>898</v>
      </c>
      <c r="E79" s="191" t="s">
        <v>899</v>
      </c>
      <c r="F79" s="193" t="s">
        <v>6</v>
      </c>
      <c r="G79" s="194">
        <v>46313</v>
      </c>
      <c r="H79" s="190" t="s">
        <v>751</v>
      </c>
      <c r="I79" s="193" t="s">
        <v>6</v>
      </c>
      <c r="J79" s="194">
        <v>46313</v>
      </c>
      <c r="K79" s="190" t="s">
        <v>751</v>
      </c>
      <c r="L79" s="190" t="s">
        <v>19</v>
      </c>
      <c r="M79" s="195"/>
      <c r="N79" s="157"/>
      <c r="O79" s="157"/>
      <c r="P79" s="157" t="s">
        <v>900</v>
      </c>
    </row>
    <row r="80">
      <c r="A80" s="190" t="s">
        <v>901</v>
      </c>
      <c r="B80" s="191" t="s">
        <v>902</v>
      </c>
      <c r="C80" s="191" t="s">
        <v>903</v>
      </c>
      <c r="D80" s="191" t="s">
        <v>904</v>
      </c>
      <c r="E80" s="191" t="s">
        <v>905</v>
      </c>
      <c r="F80" s="193" t="s">
        <v>6</v>
      </c>
      <c r="G80" s="194">
        <v>46313</v>
      </c>
      <c r="H80" s="190" t="s">
        <v>751</v>
      </c>
      <c r="I80" s="193" t="s">
        <v>6</v>
      </c>
      <c r="J80" s="194">
        <v>46313</v>
      </c>
      <c r="K80" s="190" t="s">
        <v>751</v>
      </c>
      <c r="L80" s="190" t="s">
        <v>19</v>
      </c>
      <c r="M80" s="195"/>
      <c r="N80" s="157"/>
      <c r="O80" s="157"/>
      <c r="P80" s="157" t="s">
        <v>906</v>
      </c>
    </row>
    <row r="81">
      <c r="A81" s="190" t="s">
        <v>907</v>
      </c>
      <c r="B81" s="191" t="s">
        <v>908</v>
      </c>
      <c r="C81" s="191" t="s">
        <v>909</v>
      </c>
      <c r="D81" s="191" t="s">
        <v>910</v>
      </c>
      <c r="E81" s="191" t="s">
        <v>911</v>
      </c>
      <c r="F81" s="193" t="s">
        <v>6</v>
      </c>
      <c r="G81" s="194">
        <v>46313</v>
      </c>
      <c r="H81" s="190" t="s">
        <v>751</v>
      </c>
      <c r="I81" s="193" t="s">
        <v>6</v>
      </c>
      <c r="J81" s="194">
        <v>46313</v>
      </c>
      <c r="K81" s="190" t="s">
        <v>751</v>
      </c>
      <c r="L81" s="190" t="s">
        <v>19</v>
      </c>
      <c r="M81" s="195"/>
      <c r="N81" s="157"/>
      <c r="O81" s="157"/>
      <c r="P81" s="157" t="s">
        <v>912</v>
      </c>
    </row>
    <row r="82">
      <c r="A82" s="190" t="s">
        <v>913</v>
      </c>
      <c r="B82" s="191" t="s">
        <v>914</v>
      </c>
      <c r="C82" s="191" t="s">
        <v>915</v>
      </c>
      <c r="D82" s="191" t="s">
        <v>916</v>
      </c>
      <c r="E82" s="191" t="s">
        <v>917</v>
      </c>
      <c r="F82" s="193" t="s">
        <v>6</v>
      </c>
      <c r="G82" s="194">
        <v>46313</v>
      </c>
      <c r="H82" s="190" t="s">
        <v>751</v>
      </c>
      <c r="I82" s="193" t="s">
        <v>6</v>
      </c>
      <c r="J82" s="194">
        <v>46313</v>
      </c>
      <c r="K82" s="190" t="s">
        <v>751</v>
      </c>
      <c r="L82" s="190" t="s">
        <v>19</v>
      </c>
      <c r="M82" s="195"/>
      <c r="N82" s="157"/>
      <c r="O82" s="157"/>
      <c r="P82" s="157" t="s">
        <v>918</v>
      </c>
    </row>
    <row r="83">
      <c r="A83" s="190" t="s">
        <v>919</v>
      </c>
      <c r="B83" s="191" t="s">
        <v>920</v>
      </c>
      <c r="C83" s="191" t="s">
        <v>921</v>
      </c>
      <c r="D83" s="191" t="s">
        <v>922</v>
      </c>
      <c r="E83" s="191" t="s">
        <v>923</v>
      </c>
      <c r="F83" s="193" t="s">
        <v>6</v>
      </c>
      <c r="G83" s="194">
        <v>46313</v>
      </c>
      <c r="H83" s="190" t="s">
        <v>751</v>
      </c>
      <c r="I83" s="193" t="s">
        <v>6</v>
      </c>
      <c r="J83" s="194">
        <v>46313</v>
      </c>
      <c r="K83" s="190" t="s">
        <v>751</v>
      </c>
      <c r="L83" s="190" t="s">
        <v>19</v>
      </c>
      <c r="M83" s="195"/>
      <c r="N83" s="157"/>
      <c r="O83" s="157"/>
      <c r="P83" s="157" t="s">
        <v>924</v>
      </c>
    </row>
    <row r="84">
      <c r="A84" s="190" t="s">
        <v>925</v>
      </c>
      <c r="B84" s="191" t="s">
        <v>926</v>
      </c>
      <c r="C84" s="191" t="s">
        <v>927</v>
      </c>
      <c r="D84" s="191" t="s">
        <v>928</v>
      </c>
      <c r="E84" s="191" t="s">
        <v>929</v>
      </c>
      <c r="F84" s="193" t="s">
        <v>6</v>
      </c>
      <c r="G84" s="194">
        <v>46313</v>
      </c>
      <c r="H84" s="190" t="s">
        <v>751</v>
      </c>
      <c r="I84" s="193" t="s">
        <v>6</v>
      </c>
      <c r="J84" s="194">
        <v>46313</v>
      </c>
      <c r="K84" s="190" t="s">
        <v>751</v>
      </c>
      <c r="L84" s="190" t="s">
        <v>19</v>
      </c>
      <c r="M84" s="195"/>
      <c r="N84" s="157"/>
      <c r="O84" s="157"/>
      <c r="P84" s="157" t="s">
        <v>930</v>
      </c>
    </row>
    <row r="85">
      <c r="A85" s="190" t="s">
        <v>931</v>
      </c>
      <c r="B85" s="191" t="s">
        <v>932</v>
      </c>
      <c r="C85" s="191" t="s">
        <v>933</v>
      </c>
      <c r="D85" s="191" t="s">
        <v>934</v>
      </c>
      <c r="E85" s="191" t="s">
        <v>935</v>
      </c>
      <c r="F85" s="193" t="s">
        <v>6</v>
      </c>
      <c r="G85" s="194">
        <v>46313</v>
      </c>
      <c r="H85" s="190" t="s">
        <v>751</v>
      </c>
      <c r="I85" s="193" t="s">
        <v>6</v>
      </c>
      <c r="J85" s="194">
        <v>46313</v>
      </c>
      <c r="K85" s="190" t="s">
        <v>751</v>
      </c>
      <c r="L85" s="190" t="s">
        <v>19</v>
      </c>
      <c r="M85" s="195"/>
      <c r="N85" s="157"/>
      <c r="O85" s="157"/>
      <c r="P85" s="157" t="s">
        <v>936</v>
      </c>
    </row>
    <row r="86">
      <c r="A86" s="190" t="s">
        <v>937</v>
      </c>
      <c r="B86" s="191" t="s">
        <v>938</v>
      </c>
      <c r="C86" s="191" t="s">
        <v>939</v>
      </c>
      <c r="D86" s="191" t="s">
        <v>940</v>
      </c>
      <c r="E86" s="191" t="s">
        <v>941</v>
      </c>
      <c r="F86" s="193" t="s">
        <v>6</v>
      </c>
      <c r="G86" s="194">
        <v>46313</v>
      </c>
      <c r="H86" s="190" t="s">
        <v>751</v>
      </c>
      <c r="I86" s="193" t="s">
        <v>6</v>
      </c>
      <c r="J86" s="194">
        <v>46313</v>
      </c>
      <c r="K86" s="190" t="s">
        <v>751</v>
      </c>
      <c r="L86" s="190" t="s">
        <v>19</v>
      </c>
      <c r="M86" s="195"/>
      <c r="N86" s="157"/>
      <c r="O86" s="157"/>
      <c r="P86" s="157" t="s">
        <v>942</v>
      </c>
    </row>
  </sheetData>
  <mergeCells count="8">
    <mergeCell ref="B2:E2"/>
    <mergeCell ref="B3:E3"/>
    <mergeCell ref="B4:E4"/>
    <mergeCell ref="A9:P9"/>
    <mergeCell ref="A11:P11"/>
    <mergeCell ref="A28:P28"/>
    <mergeCell ref="A43:P43"/>
    <mergeCell ref="A68:P68"/>
  </mergeCells>
  <conditionalFormatting sqref="F12:F86">
    <cfRule type="expression" dxfId="0" priority="1">
      <formula>F12="Passed"</formula>
    </cfRule>
  </conditionalFormatting>
  <conditionalFormatting sqref="F12:F86">
    <cfRule type="expression" dxfId="1" priority="2">
      <formula>F12="Failed"</formula>
    </cfRule>
  </conditionalFormatting>
  <conditionalFormatting sqref="F12:F86">
    <cfRule type="expression" dxfId="2" priority="3">
      <formula>F12="Pending"</formula>
    </cfRule>
  </conditionalFormatting>
  <conditionalFormatting sqref="I12:I86">
    <cfRule type="expression" dxfId="0" priority="4">
      <formula>I12="Passed"</formula>
    </cfRule>
  </conditionalFormatting>
  <conditionalFormatting sqref="I12:I86">
    <cfRule type="expression" dxfId="1" priority="5">
      <formula>I12="Failed"</formula>
    </cfRule>
  </conditionalFormatting>
  <conditionalFormatting sqref="I12:I86">
    <cfRule type="expression" dxfId="2" priority="6">
      <formula>I12="Pending"</formula>
    </cfRule>
  </conditionalFormatting>
  <conditionalFormatting sqref="L12:L86">
    <cfRule type="expression" dxfId="0" priority="7">
      <formula>L12="Passed"</formula>
    </cfRule>
  </conditionalFormatting>
  <conditionalFormatting sqref="L12:L86">
    <cfRule type="expression" dxfId="1" priority="8">
      <formula>L12="Failed"</formula>
    </cfRule>
  </conditionalFormatting>
  <conditionalFormatting sqref="L12:L86">
    <cfRule type="expression" dxfId="2" priority="9">
      <formula>L12="Pending"</formula>
    </cfRule>
  </conditionalFormatting>
  <dataValidations>
    <dataValidation type="list" allowBlank="1" sqref="F12:F27 I12:I27 L12:L27 F29:F42 I29:I42 L29:L42 F44:F67 I44:I67 L44:L67 F69:F86 I69:I86 L69:L86">
      <formula1>"Passed,Failed,Pending,N/A"</formula1>
    </dataValidation>
  </dataValidations>
  <printOptions/>
  <pageMargins bottom="0.75" footer="0.0" header="0.0" left="0.7" right="0.7" top="0.75"/>
  <pageSetup orientation="landscape"/>
  <drawing r:id="rId1"/>
</worksheet>
</file>